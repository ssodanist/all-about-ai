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 및 분석" sheetId="1" state="visible" r:id="rId3"/>
    <sheet name="걸개처별 추이 요약" sheetId="2" state="visible" r:id="rId4"/>
    <sheet name="주별 매출" sheetId="3" state="visible" r:id="rId5"/>
    <sheet name="월별 매출" sheetId="4" state="visible" r:id="rId6"/>
    <sheet name="차트" sheetId="5" state="visible" r:id="rId7"/>
  </sheets>
  <definedNames>
    <definedName function="false" hidden="true" localSheetId="1" name="_xlnm._FilterDatabase" vbProcedure="false">'걸개처별 추이 요약'!$A$7:$U$128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7" authorId="0">
      <text>
        <r>
          <rPr>
            <sz val="10"/>
            <rFont val="Arial"/>
            <family val="2"/>
          </rPr>
          <t xml:space="preserve">7~9</t>
        </r>
        <r>
          <rPr>
            <sz val="10"/>
            <rFont val="WenQuanYi Zen Hei"/>
            <family val="2"/>
          </rPr>
          <t xml:space="preserve">월 월평균 </t>
        </r>
        <r>
          <rPr>
            <sz val="10"/>
            <rFont val="Arial"/>
            <family val="2"/>
          </rPr>
          <t xml:space="preserve">÷ 1~3</t>
        </r>
        <r>
          <rPr>
            <sz val="10"/>
            <rFont val="WenQuanYi Zen Hei"/>
            <family val="2"/>
          </rPr>
          <t xml:space="preserve">월 월평균 </t>
        </r>
        <r>
          <rPr>
            <sz val="10"/>
            <rFont val="Arial"/>
            <family val="2"/>
          </rPr>
          <t xml:space="preserve">- 1 (</t>
        </r>
        <r>
          <rPr>
            <sz val="10"/>
            <rFont val="WenQuanYi Zen Hei"/>
            <family val="2"/>
          </rPr>
          <t xml:space="preserve">월간 시트 기준</t>
        </r>
        <r>
          <rPr>
            <sz val="10"/>
            <rFont val="Arial"/>
            <family val="2"/>
          </rPr>
          <t xml:space="preserve">)</t>
        </r>
      </text>
    </comment>
    <comment ref="O7" authorId="0">
      <text>
        <r>
          <rPr>
            <sz val="10"/>
            <rFont val="WenQuanYi Zen Hei"/>
            <family val="2"/>
          </rPr>
          <t xml:space="preserve">최근 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WenQuanYi Zen Hei"/>
            <family val="2"/>
          </rPr>
          <t xml:space="preserve">주</t>
        </r>
        <r>
          <rPr>
            <sz val="10"/>
            <rFont val="Arial"/>
            <family val="2"/>
          </rPr>
          <t xml:space="preserve">(09/21~10/18) </t>
        </r>
        <r>
          <rPr>
            <sz val="10"/>
            <rFont val="WenQuanYi Zen Hei"/>
            <family val="2"/>
          </rPr>
          <t xml:space="preserve">합계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WenQuanYi Zen Hei"/>
            <family val="2"/>
          </rPr>
          <t xml:space="preserve">직전 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WenQuanYi Zen Hei"/>
            <family val="2"/>
          </rPr>
          <t xml:space="preserve">주 합계 </t>
        </r>
        <r>
          <rPr>
            <sz val="10"/>
            <rFont val="Arial"/>
            <family val="2"/>
          </rPr>
          <t xml:space="preserve">- 1. </t>
        </r>
        <r>
          <rPr>
            <sz val="10"/>
            <rFont val="WenQuanYi Zen Hei"/>
            <family val="2"/>
          </rPr>
          <t xml:space="preserve">추석 연휴 주차</t>
        </r>
        <r>
          <rPr>
            <sz val="10"/>
            <rFont val="Arial"/>
            <family val="2"/>
          </rPr>
          <t xml:space="preserve">(9/21~9/27)</t>
        </r>
        <r>
          <rPr>
            <sz val="10"/>
            <rFont val="WenQuanYi Zen Hei"/>
            <family val="2"/>
          </rPr>
          <t xml:space="preserve">가 최근 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WenQuanYi Zen Hei"/>
            <family val="2"/>
          </rPr>
          <t xml:space="preserve">주에 포함됨</t>
        </r>
        <r>
          <rPr>
            <sz val="10"/>
            <rFont val="Arial"/>
            <family val="2"/>
          </rPr>
          <t xml:space="preserve">.</t>
        </r>
      </text>
    </comment>
    <comment ref="Q7" authorId="0">
      <text>
        <r>
          <rPr>
            <sz val="10"/>
            <rFont val="WenQuanYi Zen Hei"/>
            <family val="2"/>
          </rPr>
          <t xml:space="preserve">전년 동주 </t>
        </r>
        <r>
          <rPr>
            <sz val="10"/>
            <rFont val="Arial"/>
            <family val="2"/>
          </rPr>
          <t xml:space="preserve">= '25.10.13 </t>
        </r>
        <r>
          <rPr>
            <sz val="10"/>
            <rFont val="WenQuanYi Zen Hei"/>
            <family val="2"/>
          </rPr>
          <t xml:space="preserve">주차 </t>
        </r>
        <r>
          <rPr>
            <sz val="10"/>
            <rFont val="Arial"/>
            <family val="2"/>
          </rPr>
          <t xml:space="preserve">(52</t>
        </r>
        <r>
          <rPr>
            <sz val="10"/>
            <rFont val="WenQuanYi Zen Hei"/>
            <family val="2"/>
          </rPr>
          <t xml:space="preserve">주 전</t>
        </r>
        <r>
          <rPr>
            <sz val="10"/>
            <rFont val="Arial"/>
            <family val="2"/>
          </rPr>
          <t xml:space="preserve">)</t>
        </r>
      </text>
    </comment>
  </commentList>
</comments>
</file>

<file path=xl/sharedStrings.xml><?xml version="1.0" encoding="utf-8"?>
<sst xmlns="http://schemas.openxmlformats.org/spreadsheetml/2006/main" count="1463" uniqueCount="553">
  <si>
    <r>
      <rPr>
        <b val="true"/>
        <sz val="15"/>
        <rFont val="Arial"/>
        <family val="0"/>
        <charset val="1"/>
      </rPr>
      <t xml:space="preserve">○ [FC</t>
    </r>
    <r>
      <rPr>
        <b val="true"/>
        <sz val="15"/>
        <rFont val="WenQuanYi Zen Hei"/>
        <family val="2"/>
      </rPr>
      <t xml:space="preserve">사업부</t>
    </r>
    <r>
      <rPr>
        <b val="true"/>
        <sz val="15"/>
        <rFont val="Arial"/>
        <family val="0"/>
        <charset val="1"/>
      </rPr>
      <t xml:space="preserve">] </t>
    </r>
    <r>
      <rPr>
        <b val="true"/>
        <sz val="15"/>
        <rFont val="WenQuanYi Zen Hei"/>
        <family val="2"/>
      </rPr>
      <t xml:space="preserve">걸개처별 매출 추이 — 요약 및 분석</t>
    </r>
  </si>
  <si>
    <r>
      <rPr>
        <i val="true"/>
        <sz val="10"/>
        <color rgb="FF595959"/>
        <rFont val="WenQuanYi Zen Hei"/>
        <family val="2"/>
      </rPr>
      <t xml:space="preserve">기준</t>
    </r>
    <r>
      <rPr>
        <i val="true"/>
        <sz val="10"/>
        <color rgb="FF595959"/>
        <rFont val="Arial"/>
        <family val="0"/>
        <charset val="1"/>
      </rPr>
      <t xml:space="preserve">: </t>
    </r>
    <r>
      <rPr>
        <i val="true"/>
        <sz val="10"/>
        <color rgb="FF595959"/>
        <rFont val="WenQuanYi Zen Hei"/>
        <family val="2"/>
      </rPr>
      <t xml:space="preserve">주간 </t>
    </r>
    <r>
      <rPr>
        <i val="true"/>
        <sz val="10"/>
        <color rgb="FF595959"/>
        <rFont val="Arial"/>
        <family val="0"/>
        <charset val="1"/>
      </rPr>
      <t xml:space="preserve">'25.08.18 ~ '26.10.18 (61</t>
    </r>
    <r>
      <rPr>
        <i val="true"/>
        <sz val="10"/>
        <color rgb="FF595959"/>
        <rFont val="WenQuanYi Zen Hei"/>
        <family val="2"/>
      </rPr>
      <t xml:space="preserve">주</t>
    </r>
    <r>
      <rPr>
        <i val="true"/>
        <sz val="10"/>
        <color rgb="FF595959"/>
        <rFont val="Arial"/>
        <family val="0"/>
        <charset val="1"/>
      </rPr>
      <t xml:space="preserve">) / </t>
    </r>
    <r>
      <rPr>
        <i val="true"/>
        <sz val="10"/>
        <color rgb="FF595959"/>
        <rFont val="WenQuanYi Zen Hei"/>
        <family val="2"/>
      </rPr>
      <t xml:space="preserve">월간 </t>
    </r>
    <r>
      <rPr>
        <i val="true"/>
        <sz val="10"/>
        <color rgb="FF595959"/>
        <rFont val="Arial"/>
        <family val="0"/>
        <charset val="1"/>
      </rPr>
      <t xml:space="preserve">2026</t>
    </r>
    <r>
      <rPr>
        <i val="true"/>
        <sz val="10"/>
        <color rgb="FF595959"/>
        <rFont val="WenQuanYi Zen Hei"/>
        <family val="2"/>
      </rPr>
      <t xml:space="preserve">년 </t>
    </r>
    <r>
      <rPr>
        <i val="true"/>
        <sz val="10"/>
        <color rgb="FF595959"/>
        <rFont val="Arial"/>
        <family val="0"/>
        <charset val="1"/>
      </rPr>
      <t xml:space="preserve">1~9</t>
    </r>
    <r>
      <rPr>
        <i val="true"/>
        <sz val="10"/>
        <color rgb="FF595959"/>
        <rFont val="WenQuanYi Zen Hei"/>
        <family val="2"/>
      </rPr>
      <t xml:space="preserve">월 </t>
    </r>
    <r>
      <rPr>
        <i val="true"/>
        <sz val="10"/>
        <color rgb="FF595959"/>
        <rFont val="Arial"/>
        <family val="0"/>
        <charset val="1"/>
      </rPr>
      <t xml:space="preserve">· </t>
    </r>
    <r>
      <rPr>
        <i val="true"/>
        <sz val="10"/>
        <color rgb="FF595959"/>
        <rFont val="WenQuanYi Zen Hei"/>
        <family val="2"/>
      </rPr>
      <t xml:space="preserve">출처</t>
    </r>
    <r>
      <rPr>
        <i val="true"/>
        <sz val="10"/>
        <color rgb="FF595959"/>
        <rFont val="Arial"/>
        <family val="0"/>
        <charset val="1"/>
      </rPr>
      <t xml:space="preserve">: FC</t>
    </r>
    <r>
      <rPr>
        <i val="true"/>
        <sz val="10"/>
        <color rgb="FF595959"/>
        <rFont val="WenQuanYi Zen Hei"/>
        <family val="2"/>
      </rPr>
      <t xml:space="preserve">사업부 </t>
    </r>
    <r>
      <rPr>
        <i val="true"/>
        <sz val="10"/>
        <color rgb="FF595959"/>
        <rFont val="Arial"/>
        <family val="0"/>
        <charset val="1"/>
      </rPr>
      <t xml:space="preserve">Weekly Brand Tracking(261019) · </t>
    </r>
    <r>
      <rPr>
        <i val="true"/>
        <sz val="10"/>
        <color rgb="FF595959"/>
        <rFont val="WenQuanYi Zen Hei"/>
        <family val="2"/>
      </rPr>
      <t xml:space="preserve">금액 단위</t>
    </r>
    <r>
      <rPr>
        <i val="true"/>
        <sz val="10"/>
        <color rgb="FF595959"/>
        <rFont val="Arial"/>
        <family val="0"/>
        <charset val="1"/>
      </rPr>
      <t xml:space="preserve">: </t>
    </r>
    <r>
      <rPr>
        <i val="true"/>
        <sz val="10"/>
        <color rgb="FF595959"/>
        <rFont val="WenQuanYi Zen Hei"/>
        <family val="2"/>
      </rPr>
      <t xml:space="preserve">백만원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셀 값은 원</t>
    </r>
    <r>
      <rPr>
        <i val="true"/>
        <sz val="10"/>
        <color rgb="FF595959"/>
        <rFont val="Arial"/>
        <family val="0"/>
        <charset val="1"/>
      </rPr>
      <t xml:space="preserve">)</t>
    </r>
  </si>
  <si>
    <r>
      <rPr>
        <b val="true"/>
        <sz val="12"/>
        <color rgb="FF1F3864"/>
        <rFont val="Arial"/>
        <family val="0"/>
        <charset val="1"/>
      </rPr>
      <t xml:space="preserve">1. </t>
    </r>
    <r>
      <rPr>
        <b val="true"/>
        <sz val="12"/>
        <color rgb="FF1F3864"/>
        <rFont val="WenQuanYi Zen Hei"/>
        <family val="2"/>
      </rPr>
      <t xml:space="preserve">핵심 지표</t>
    </r>
  </si>
  <si>
    <r>
      <rPr>
        <b val="true"/>
        <sz val="10"/>
        <color rgb="FF1F3864"/>
        <rFont val="WenQuanYi Zen Hei"/>
        <family val="2"/>
      </rPr>
      <t xml:space="preserve">최근주 매출 </t>
    </r>
    <r>
      <rPr>
        <b val="true"/>
        <sz val="10"/>
        <color rgb="FF1F3864"/>
        <rFont val="Arial"/>
        <family val="0"/>
        <charset val="1"/>
      </rPr>
      <t xml:space="preserve">(10/12~10/18)</t>
    </r>
  </si>
  <si>
    <t xml:space="preserve">전주 대비</t>
  </si>
  <si>
    <t xml:space="preserve">전년 동주 대비</t>
  </si>
  <si>
    <r>
      <rPr>
        <b val="true"/>
        <sz val="10"/>
        <color rgb="FF1F3864"/>
        <rFont val="WenQuanYi Zen Hei"/>
        <family val="2"/>
      </rPr>
      <t xml:space="preserve">최근 </t>
    </r>
    <r>
      <rPr>
        <b val="true"/>
        <sz val="10"/>
        <color rgb="FF1F3864"/>
        <rFont val="Arial"/>
        <family val="0"/>
        <charset val="1"/>
      </rPr>
      <t xml:space="preserve">4</t>
    </r>
    <r>
      <rPr>
        <b val="true"/>
        <sz val="10"/>
        <color rgb="FF1F3864"/>
        <rFont val="WenQuanYi Zen Hei"/>
        <family val="2"/>
      </rPr>
      <t xml:space="preserve">주 매출</t>
    </r>
  </si>
  <si>
    <r>
      <rPr>
        <b val="true"/>
        <sz val="10"/>
        <color rgb="FF1F3864"/>
        <rFont val="Arial"/>
        <family val="0"/>
        <charset val="1"/>
      </rPr>
      <t xml:space="preserve">4</t>
    </r>
    <r>
      <rPr>
        <b val="true"/>
        <sz val="10"/>
        <color rgb="FF1F3864"/>
        <rFont val="WenQuanYi Zen Hei"/>
        <family val="2"/>
      </rPr>
      <t xml:space="preserve">주 증감률 </t>
    </r>
    <r>
      <rPr>
        <b val="true"/>
        <sz val="10"/>
        <color rgb="FF1F3864"/>
        <rFont val="Arial"/>
        <family val="0"/>
        <charset val="1"/>
      </rPr>
      <t xml:space="preserve">(</t>
    </r>
    <r>
      <rPr>
        <b val="true"/>
        <sz val="10"/>
        <color rgb="FF1F3864"/>
        <rFont val="WenQuanYi Zen Hei"/>
        <family val="2"/>
      </rPr>
      <t xml:space="preserve">직전 </t>
    </r>
    <r>
      <rPr>
        <b val="true"/>
        <sz val="10"/>
        <color rgb="FF1F3864"/>
        <rFont val="Arial"/>
        <family val="0"/>
        <charset val="1"/>
      </rPr>
      <t xml:space="preserve">4</t>
    </r>
    <r>
      <rPr>
        <b val="true"/>
        <sz val="10"/>
        <color rgb="FF1F3864"/>
        <rFont val="WenQuanYi Zen Hei"/>
        <family val="2"/>
      </rPr>
      <t xml:space="preserve">주 대비</t>
    </r>
    <r>
      <rPr>
        <b val="true"/>
        <sz val="10"/>
        <color rgb="FF1F3864"/>
        <rFont val="Arial"/>
        <family val="0"/>
        <charset val="1"/>
      </rPr>
      <t xml:space="preserve">)</t>
    </r>
  </si>
  <si>
    <r>
      <rPr>
        <b val="true"/>
        <sz val="10"/>
        <color rgb="FF1F3864"/>
        <rFont val="Arial"/>
        <family val="0"/>
        <charset val="1"/>
      </rPr>
      <t xml:space="preserve">9</t>
    </r>
    <r>
      <rPr>
        <b val="true"/>
        <sz val="10"/>
        <color rgb="FF1F3864"/>
        <rFont val="WenQuanYi Zen Hei"/>
        <family val="2"/>
      </rPr>
      <t xml:space="preserve">월 매출</t>
    </r>
  </si>
  <si>
    <r>
      <rPr>
        <b val="true"/>
        <sz val="10"/>
        <color rgb="FF1F3864"/>
        <rFont val="Arial"/>
        <family val="0"/>
        <charset val="1"/>
      </rPr>
      <t xml:space="preserve">9</t>
    </r>
    <r>
      <rPr>
        <b val="true"/>
        <sz val="10"/>
        <color rgb="FF1F3864"/>
        <rFont val="WenQuanYi Zen Hei"/>
        <family val="2"/>
      </rPr>
      <t xml:space="preserve">월 전월 대비</t>
    </r>
  </si>
  <si>
    <r>
      <rPr>
        <b val="true"/>
        <sz val="10"/>
        <color rgb="FF1F3864"/>
        <rFont val="Arial"/>
        <family val="0"/>
        <charset val="1"/>
      </rPr>
      <t xml:space="preserve">1~9</t>
    </r>
    <r>
      <rPr>
        <b val="true"/>
        <sz val="10"/>
        <color rgb="FF1F3864"/>
        <rFont val="WenQuanYi Zen Hei"/>
        <family val="2"/>
      </rPr>
      <t xml:space="preserve">월 누계 매출</t>
    </r>
  </si>
  <si>
    <r>
      <rPr>
        <b val="true"/>
        <sz val="10"/>
        <color rgb="FF1F3864"/>
        <rFont val="Arial"/>
        <family val="0"/>
        <charset val="1"/>
      </rPr>
      <t xml:space="preserve">1Q→3Q </t>
    </r>
    <r>
      <rPr>
        <b val="true"/>
        <sz val="10"/>
        <color rgb="FF1F3864"/>
        <rFont val="WenQuanYi Zen Hei"/>
        <family val="2"/>
      </rPr>
      <t xml:space="preserve">월평균 증감률</t>
    </r>
  </si>
  <si>
    <r>
      <rPr>
        <b val="true"/>
        <sz val="10"/>
        <color rgb="FF1F3864"/>
        <rFont val="WenQuanYi Zen Hei"/>
        <family val="2"/>
      </rPr>
      <t xml:space="preserve">상위 </t>
    </r>
    <r>
      <rPr>
        <b val="true"/>
        <sz val="10"/>
        <color rgb="FF1F3864"/>
        <rFont val="Arial"/>
        <family val="0"/>
        <charset val="1"/>
      </rPr>
      <t xml:space="preserve">5</t>
    </r>
    <r>
      <rPr>
        <b val="true"/>
        <sz val="10"/>
        <color rgb="FF1F3864"/>
        <rFont val="WenQuanYi Zen Hei"/>
        <family val="2"/>
      </rPr>
      <t xml:space="preserve">개 걸개처 매출 비중 </t>
    </r>
    <r>
      <rPr>
        <b val="true"/>
        <sz val="10"/>
        <color rgb="FF1F3864"/>
        <rFont val="Arial"/>
        <family val="0"/>
        <charset val="1"/>
      </rPr>
      <t xml:space="preserve">(</t>
    </r>
    <r>
      <rPr>
        <b val="true"/>
        <sz val="10"/>
        <color rgb="FF1F3864"/>
        <rFont val="WenQuanYi Zen Hei"/>
        <family val="2"/>
      </rPr>
      <t xml:space="preserve">최근 </t>
    </r>
    <r>
      <rPr>
        <b val="true"/>
        <sz val="10"/>
        <color rgb="FF1F3864"/>
        <rFont val="Arial"/>
        <family val="0"/>
        <charset val="1"/>
      </rPr>
      <t xml:space="preserve">4</t>
    </r>
    <r>
      <rPr>
        <b val="true"/>
        <sz val="10"/>
        <color rgb="FF1F3864"/>
        <rFont val="WenQuanYi Zen Hei"/>
        <family val="2"/>
      </rPr>
      <t xml:space="preserve">주</t>
    </r>
    <r>
      <rPr>
        <b val="true"/>
        <sz val="10"/>
        <color rgb="FF1F3864"/>
        <rFont val="Arial"/>
        <family val="0"/>
        <charset val="1"/>
      </rPr>
      <t xml:space="preserve">)</t>
    </r>
  </si>
  <si>
    <r>
      <rPr>
        <b val="true"/>
        <sz val="12"/>
        <color rgb="FF1F3864"/>
        <rFont val="Arial"/>
        <family val="0"/>
        <charset val="1"/>
      </rPr>
      <t xml:space="preserve">2. </t>
    </r>
    <r>
      <rPr>
        <b val="true"/>
        <sz val="12"/>
        <color rgb="FF1F3864"/>
        <rFont val="WenQuanYi Zen Hei"/>
        <family val="2"/>
      </rPr>
      <t xml:space="preserve">월별 전체 매출 추이 </t>
    </r>
    <r>
      <rPr>
        <b val="true"/>
        <sz val="12"/>
        <color rgb="FF1F3864"/>
        <rFont val="Arial"/>
        <family val="0"/>
        <charset val="1"/>
      </rPr>
      <t xml:space="preserve">(</t>
    </r>
    <r>
      <rPr>
        <b val="true"/>
        <sz val="12"/>
        <color rgb="FF1F3864"/>
        <rFont val="WenQuanYi Zen Hei"/>
        <family val="2"/>
      </rPr>
      <t xml:space="preserve">백만원</t>
    </r>
    <r>
      <rPr>
        <b val="true"/>
        <sz val="12"/>
        <color rgb="FF1F3864"/>
        <rFont val="Arial"/>
        <family val="0"/>
        <charset val="1"/>
      </rPr>
      <t xml:space="preserve">)</t>
    </r>
  </si>
  <si>
    <t xml:space="preserve">구분</t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</si>
  <si>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</si>
  <si>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</si>
  <si>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</si>
  <si>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</si>
  <si>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5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</si>
  <si>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6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</si>
  <si>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7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</si>
  <si>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8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</si>
  <si>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Arial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월</t>
    </r>
  </si>
  <si>
    <t xml:space="preserve">월 매출</t>
  </si>
  <si>
    <t xml:space="preserve">전월 대비</t>
  </si>
  <si>
    <t xml:space="preserve">-</t>
  </si>
  <si>
    <r>
      <rPr>
        <b val="true"/>
        <sz val="12"/>
        <color rgb="FF1F3864"/>
        <rFont val="Arial"/>
        <family val="0"/>
        <charset val="1"/>
      </rPr>
      <t xml:space="preserve">3. </t>
    </r>
    <r>
      <rPr>
        <b val="true"/>
        <sz val="12"/>
        <color rgb="FF1F3864"/>
        <rFont val="WenQuanYi Zen Hei"/>
        <family val="2"/>
      </rPr>
      <t xml:space="preserve">걸개처 추세 분포 </t>
    </r>
    <r>
      <rPr>
        <b val="true"/>
        <sz val="12"/>
        <color rgb="FF1F3864"/>
        <rFont val="Arial"/>
        <family val="0"/>
        <charset val="1"/>
      </rPr>
      <t xml:space="preserve">(</t>
    </r>
    <r>
      <rPr>
        <b val="true"/>
        <sz val="12"/>
        <color rgb="FF1F3864"/>
        <rFont val="WenQuanYi Zen Hei"/>
        <family val="2"/>
      </rPr>
      <t xml:space="preserve">걸개처 수</t>
    </r>
    <r>
      <rPr>
        <b val="true"/>
        <sz val="12"/>
        <color rgb="FF1F3864"/>
        <rFont val="Arial"/>
        <family val="0"/>
        <charset val="1"/>
      </rPr>
      <t xml:space="preserve">)</t>
    </r>
  </si>
  <si>
    <t xml:space="preserve">▲ 상승</t>
  </si>
  <si>
    <t xml:space="preserve">― 보합</t>
  </si>
  <si>
    <t xml:space="preserve">▼ 하락</t>
  </si>
  <si>
    <t xml:space="preserve">● 신규 발생</t>
  </si>
  <si>
    <t xml:space="preserve">■ 매출 중단</t>
  </si>
  <si>
    <r>
      <rPr>
        <b val="true"/>
        <sz val="10"/>
        <rFont val="WenQuanYi Zen Hei"/>
        <family val="2"/>
      </rPr>
      <t xml:space="preserve">단기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최근 </t>
    </r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주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WenQuanYi Zen Hei"/>
        <family val="2"/>
      </rPr>
      <t xml:space="preserve">직전 </t>
    </r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주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</si>
  <si>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장기 </t>
    </r>
    <r>
      <rPr>
        <b val="true"/>
        <sz val="10"/>
        <rFont val="Arial"/>
        <family val="0"/>
        <charset val="1"/>
      </rPr>
      <t xml:space="preserve">(1~3</t>
    </r>
    <r>
      <rPr>
        <b val="true"/>
        <sz val="10"/>
        <rFont val="WenQuanYi Zen Hei"/>
        <family val="2"/>
      </rPr>
      <t xml:space="preserve">월 </t>
    </r>
    <r>
      <rPr>
        <b val="true"/>
        <sz val="10"/>
        <rFont val="Arial"/>
        <family val="0"/>
        <charset val="1"/>
      </rPr>
      <t xml:space="preserve">vs 7~9</t>
    </r>
    <r>
      <rPr>
        <b val="true"/>
        <sz val="10"/>
        <rFont val="WenQuanYi Zen Hei"/>
        <family val="2"/>
      </rPr>
      <t xml:space="preserve">월 월평균</t>
    </r>
    <r>
      <rPr>
        <b val="true"/>
        <sz val="10"/>
        <rFont val="Arial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</si>
  <si>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※ 증감률 </t>
    </r>
    <r>
      <rPr>
        <sz val="9"/>
        <color rgb="FF595959"/>
        <rFont val="Arial"/>
        <family val="0"/>
        <charset val="1"/>
      </rPr>
      <t xml:space="preserve">±5% </t>
    </r>
    <r>
      <rPr>
        <sz val="9"/>
        <color rgb="FF595959"/>
        <rFont val="WenQuanYi Zen Hei"/>
        <family val="2"/>
      </rPr>
      <t xml:space="preserve">이상을 상승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하락으로 판정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기간 내 매출이 없는 걸개처는 집계 제외</t>
    </r>
    <r>
      <rPr>
        <sz val="9"/>
        <color rgb="FF595959"/>
        <rFont val="Arial"/>
        <family val="0"/>
        <charset val="1"/>
      </rPr>
      <t xml:space="preserve">.</t>
    </r>
  </si>
  <si>
    <r>
      <rPr>
        <b val="true"/>
        <sz val="12"/>
        <color rgb="FF1F3864"/>
        <rFont val="Arial"/>
        <family val="0"/>
        <charset val="1"/>
      </rPr>
      <t xml:space="preserve">4. </t>
    </r>
    <r>
      <rPr>
        <b val="true"/>
        <sz val="12"/>
        <color rgb="FF1F3864"/>
        <rFont val="WenQuanYi Zen Hei"/>
        <family val="2"/>
      </rPr>
      <t xml:space="preserve">주요 분석</t>
    </r>
  </si>
  <si>
    <t xml:space="preserve">전체 흐름</t>
  </si>
  <si>
    <r>
      <rPr>
        <sz val="10"/>
        <rFont val="WenQuanYi Zen Hei"/>
        <family val="2"/>
      </rPr>
      <t xml:space="preserve">월 매출은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월</t>
    </r>
    <r>
      <rPr>
        <sz val="10"/>
        <rFont val="Arial"/>
        <family val="0"/>
        <charset val="1"/>
      </rPr>
      <t xml:space="preserve">(234.7</t>
    </r>
    <r>
      <rPr>
        <sz val="10"/>
        <rFont val="WenQuanYi Zen Hei"/>
        <family val="2"/>
      </rPr>
      <t xml:space="preserve">억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을 고점으로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월 </t>
    </r>
    <r>
      <rPr>
        <sz val="10"/>
        <rFont val="Arial"/>
        <family val="0"/>
        <charset val="1"/>
      </rPr>
      <t xml:space="preserve">-3.0%, 9</t>
    </r>
    <r>
      <rPr>
        <sz val="10"/>
        <rFont val="WenQuanYi Zen Hei"/>
        <family val="2"/>
      </rPr>
      <t xml:space="preserve">월 </t>
    </r>
    <r>
      <rPr>
        <sz val="10"/>
        <rFont val="Arial"/>
        <family val="0"/>
        <charset val="1"/>
      </rPr>
      <t xml:space="preserve">-6.3% </t>
    </r>
    <r>
      <rPr>
        <sz val="10"/>
        <rFont val="WenQuanYi Zen Hei"/>
        <family val="2"/>
      </rPr>
      <t xml:space="preserve">두 달 연속 감소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다만 최근주 매출은 전년 동주 대비 </t>
    </r>
    <r>
      <rPr>
        <sz val="10"/>
        <rFont val="Arial"/>
        <family val="0"/>
        <charset val="1"/>
      </rPr>
      <t xml:space="preserve">+24%</t>
    </r>
    <r>
      <rPr>
        <sz val="10"/>
        <rFont val="WenQuanYi Zen Hei"/>
        <family val="2"/>
      </rPr>
      <t xml:space="preserve">로 연간 성장세는 유지</t>
    </r>
    <r>
      <rPr>
        <sz val="10"/>
        <rFont val="Arial"/>
        <family val="0"/>
        <charset val="1"/>
      </rPr>
      <t xml:space="preserve">.</t>
    </r>
  </si>
  <si>
    <t xml:space="preserve">매출 집중도</t>
  </si>
  <si>
    <r>
      <rPr>
        <sz val="10"/>
        <rFont val="WenQuanYi Zen Hei"/>
        <family val="2"/>
      </rPr>
      <t xml:space="preserve">역전할머니맥주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곳이 최근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주 매출의 약 </t>
    </r>
    <r>
      <rPr>
        <sz val="10"/>
        <rFont val="Arial"/>
        <family val="0"/>
        <charset val="1"/>
      </rPr>
      <t xml:space="preserve">32%, </t>
    </r>
    <r>
      <rPr>
        <sz val="10"/>
        <rFont val="WenQuanYi Zen Hei"/>
        <family val="2"/>
      </rPr>
      <t xml:space="preserve">상위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개 걸개처가 약 </t>
    </r>
    <r>
      <rPr>
        <sz val="10"/>
        <rFont val="Arial"/>
        <family val="0"/>
        <charset val="1"/>
      </rPr>
      <t xml:space="preserve">54%</t>
    </r>
    <r>
      <rPr>
        <sz val="10"/>
        <rFont val="WenQuanYi Zen Hei"/>
        <family val="2"/>
      </rPr>
      <t xml:space="preserve">를 차지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상위 걸개처 변동이 전체 실적을 좌우하는 구조</t>
    </r>
    <r>
      <rPr>
        <sz val="10"/>
        <rFont val="Arial"/>
        <family val="0"/>
        <charset val="1"/>
      </rPr>
      <t xml:space="preserve">.</t>
    </r>
  </si>
  <si>
    <t xml:space="preserve">성장 견인</t>
  </si>
  <si>
    <r>
      <rPr>
        <sz val="10"/>
        <rFont val="WenQuanYi Zen Hei"/>
        <family val="2"/>
      </rPr>
      <t xml:space="preserve">준코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신규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월평균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억→</t>
    </r>
    <r>
      <rPr>
        <sz val="10"/>
        <rFont val="Arial"/>
        <family val="0"/>
        <charset val="1"/>
      </rPr>
      <t xml:space="preserve">18</t>
    </r>
    <r>
      <rPr>
        <sz val="10"/>
        <rFont val="WenQuanYi Zen Hei"/>
        <family val="2"/>
      </rPr>
      <t xml:space="preserve">억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차얌</t>
    </r>
    <r>
      <rPr>
        <sz val="10"/>
        <rFont val="Arial"/>
        <family val="0"/>
        <charset val="1"/>
      </rPr>
      <t xml:space="preserve">·88</t>
    </r>
    <r>
      <rPr>
        <sz val="10"/>
        <rFont val="WenQuanYi Zen Hei"/>
        <family val="2"/>
      </rPr>
      <t xml:space="preserve">핫도그</t>
    </r>
    <r>
      <rPr>
        <sz val="10"/>
        <rFont val="Arial"/>
        <family val="0"/>
        <charset val="1"/>
      </rPr>
      <t xml:space="preserve">(+76%), </t>
    </r>
    <r>
      <rPr>
        <sz val="10"/>
        <rFont val="WenQuanYi Zen Hei"/>
        <family val="2"/>
      </rPr>
      <t xml:space="preserve">숯토리</t>
    </r>
    <r>
      <rPr>
        <sz val="10"/>
        <rFont val="Arial"/>
        <family val="0"/>
        <charset val="1"/>
      </rPr>
      <t xml:space="preserve">(+64%), </t>
    </r>
    <r>
      <rPr>
        <sz val="10"/>
        <rFont val="WenQuanYi Zen Hei"/>
        <family val="2"/>
      </rPr>
      <t xml:space="preserve">경성맥주</t>
    </r>
    <r>
      <rPr>
        <sz val="10"/>
        <rFont val="Arial"/>
        <family val="0"/>
        <charset val="1"/>
      </rPr>
      <t xml:space="preserve">(+44%), </t>
    </r>
    <r>
      <rPr>
        <sz val="10"/>
        <rFont val="WenQuanYi Zen Hei"/>
        <family val="2"/>
      </rPr>
      <t xml:space="preserve">디케이푸드</t>
    </r>
    <r>
      <rPr>
        <sz val="10"/>
        <rFont val="Arial"/>
        <family val="0"/>
        <charset val="1"/>
      </rPr>
      <t xml:space="preserve">(+41%), </t>
    </r>
    <r>
      <rPr>
        <sz val="10"/>
        <rFont val="WenQuanYi Zen Hei"/>
        <family val="2"/>
      </rPr>
      <t xml:space="preserve">쥬씨</t>
    </r>
    <r>
      <rPr>
        <sz val="10"/>
        <rFont val="Arial"/>
        <family val="0"/>
        <charset val="1"/>
      </rPr>
      <t xml:space="preserve">(+30%)</t>
    </r>
    <r>
      <rPr>
        <sz val="10"/>
        <rFont val="WenQuanYi Zen Hei"/>
        <family val="2"/>
      </rPr>
      <t xml:space="preserve">가 </t>
    </r>
    <r>
      <rPr>
        <sz val="10"/>
        <rFont val="Arial"/>
        <family val="0"/>
        <charset val="1"/>
      </rPr>
      <t xml:space="preserve">1Q </t>
    </r>
    <r>
      <rPr>
        <sz val="10"/>
        <rFont val="WenQuanYi Zen Hei"/>
        <family val="2"/>
      </rPr>
      <t xml:space="preserve">대비 </t>
    </r>
    <r>
      <rPr>
        <sz val="10"/>
        <rFont val="Arial"/>
        <family val="0"/>
        <charset val="1"/>
      </rPr>
      <t xml:space="preserve">3Q </t>
    </r>
    <r>
      <rPr>
        <sz val="10"/>
        <rFont val="WenQuanYi Zen Hei"/>
        <family val="2"/>
      </rPr>
      <t xml:space="preserve">성장을 견인</t>
    </r>
    <r>
      <rPr>
        <sz val="10"/>
        <rFont val="Arial"/>
        <family val="0"/>
        <charset val="1"/>
      </rPr>
      <t xml:space="preserve">.</t>
    </r>
  </si>
  <si>
    <t xml:space="preserve">구조적 하락</t>
  </si>
  <si>
    <r>
      <rPr>
        <sz val="10"/>
        <rFont val="WenQuanYi Zen Hei"/>
        <family val="2"/>
      </rPr>
      <t xml:space="preserve">미스앤미스터</t>
    </r>
    <r>
      <rPr>
        <sz val="10"/>
        <rFont val="Arial"/>
        <family val="0"/>
        <charset val="1"/>
      </rPr>
      <t xml:space="preserve">(-23%), </t>
    </r>
    <r>
      <rPr>
        <sz val="10"/>
        <rFont val="WenQuanYi Zen Hei"/>
        <family val="2"/>
      </rPr>
      <t xml:space="preserve">형제푸드</t>
    </r>
    <r>
      <rPr>
        <sz val="10"/>
        <rFont val="Arial"/>
        <family val="0"/>
        <charset val="1"/>
      </rPr>
      <t xml:space="preserve">(-21%), </t>
    </r>
    <r>
      <rPr>
        <sz val="10"/>
        <rFont val="WenQuanYi Zen Hei"/>
        <family val="2"/>
      </rPr>
      <t xml:space="preserve">함께그린</t>
    </r>
    <r>
      <rPr>
        <sz val="10"/>
        <rFont val="Arial"/>
        <family val="0"/>
        <charset val="1"/>
      </rPr>
      <t xml:space="preserve">(-17%), </t>
    </r>
    <r>
      <rPr>
        <sz val="10"/>
        <rFont val="WenQuanYi Zen Hei"/>
        <family val="2"/>
      </rPr>
      <t xml:space="preserve">서래식구들</t>
    </r>
    <r>
      <rPr>
        <sz val="10"/>
        <rFont val="Arial"/>
        <family val="0"/>
        <charset val="1"/>
      </rPr>
      <t xml:space="preserve">(-17%), </t>
    </r>
    <r>
      <rPr>
        <sz val="10"/>
        <rFont val="WenQuanYi Zen Hei"/>
        <family val="2"/>
      </rPr>
      <t xml:space="preserve">쓰리비플러스</t>
    </r>
    <r>
      <rPr>
        <sz val="10"/>
        <rFont val="Arial"/>
        <family val="0"/>
        <charset val="1"/>
      </rPr>
      <t xml:space="preserve">(-15%), </t>
    </r>
    <r>
      <rPr>
        <sz val="10"/>
        <rFont val="WenQuanYi Zen Hei"/>
        <family val="2"/>
      </rPr>
      <t xml:space="preserve">메이크어딜리버리</t>
    </r>
    <r>
      <rPr>
        <sz val="10"/>
        <rFont val="Arial"/>
        <family val="0"/>
        <charset val="1"/>
      </rPr>
      <t xml:space="preserve">(-12%), </t>
    </r>
    <r>
      <rPr>
        <sz val="10"/>
        <rFont val="WenQuanYi Zen Hei"/>
        <family val="2"/>
      </rPr>
      <t xml:space="preserve">킹콩</t>
    </r>
    <r>
      <rPr>
        <sz val="10"/>
        <rFont val="Arial"/>
        <family val="0"/>
        <charset val="1"/>
      </rPr>
      <t xml:space="preserve">(-11%)</t>
    </r>
    <r>
      <rPr>
        <sz val="10"/>
        <rFont val="WenQuanYi Zen Hei"/>
        <family val="2"/>
      </rPr>
      <t xml:space="preserve">은 </t>
    </r>
    <r>
      <rPr>
        <sz val="10"/>
        <rFont val="Arial"/>
        <family val="0"/>
        <charset val="1"/>
      </rPr>
      <t xml:space="preserve">1Q </t>
    </r>
    <r>
      <rPr>
        <sz val="10"/>
        <rFont val="WenQuanYi Zen Hei"/>
        <family val="2"/>
      </rPr>
      <t xml:space="preserve">대비 </t>
    </r>
    <r>
      <rPr>
        <sz val="10"/>
        <rFont val="Arial"/>
        <family val="0"/>
        <charset val="1"/>
      </rPr>
      <t xml:space="preserve">3Q </t>
    </r>
    <r>
      <rPr>
        <sz val="10"/>
        <rFont val="WenQuanYi Zen Hei"/>
        <family val="2"/>
      </rPr>
      <t xml:space="preserve">월평균 감소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메이크어딜리버리는 단기도 하락 지속</t>
    </r>
    <r>
      <rPr>
        <sz val="10"/>
        <rFont val="Arial"/>
        <family val="0"/>
        <charset val="1"/>
      </rPr>
      <t xml:space="preserve">.</t>
    </r>
  </si>
  <si>
    <t xml:space="preserve">단기 급감</t>
  </si>
  <si>
    <r>
      <rPr>
        <sz val="10"/>
        <rFont val="WenQuanYi Zen Hei"/>
        <family val="2"/>
      </rPr>
      <t xml:space="preserve">척척밥상</t>
    </r>
    <r>
      <rPr>
        <sz val="10"/>
        <rFont val="Arial"/>
        <family val="0"/>
        <charset val="1"/>
      </rPr>
      <t xml:space="preserve">(-29%), </t>
    </r>
    <r>
      <rPr>
        <sz val="10"/>
        <rFont val="WenQuanYi Zen Hei"/>
        <family val="2"/>
      </rPr>
      <t xml:space="preserve">오백국수</t>
    </r>
    <r>
      <rPr>
        <sz val="10"/>
        <rFont val="Arial"/>
        <family val="0"/>
        <charset val="1"/>
      </rPr>
      <t xml:space="preserve">(-17%), </t>
    </r>
    <r>
      <rPr>
        <sz val="10"/>
        <rFont val="WenQuanYi Zen Hei"/>
        <family val="2"/>
      </rPr>
      <t xml:space="preserve">디케이푸드</t>
    </r>
    <r>
      <rPr>
        <sz val="10"/>
        <rFont val="Arial"/>
        <family val="0"/>
        <charset val="1"/>
      </rPr>
      <t xml:space="preserve">(-17%), </t>
    </r>
    <r>
      <rPr>
        <sz val="10"/>
        <rFont val="WenQuanYi Zen Hei"/>
        <family val="2"/>
      </rPr>
      <t xml:space="preserve">치킨플러스</t>
    </r>
    <r>
      <rPr>
        <sz val="10"/>
        <rFont val="Arial"/>
        <family val="0"/>
        <charset val="1"/>
      </rPr>
      <t xml:space="preserve">(-13%)</t>
    </r>
    <r>
      <rPr>
        <sz val="10"/>
        <rFont val="WenQuanYi Zen Hei"/>
        <family val="2"/>
      </rPr>
      <t xml:space="preserve">가 최근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주 큰 폭 감소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척척밥상은 </t>
    </r>
    <r>
      <rPr>
        <sz val="10"/>
        <rFont val="Arial"/>
        <family val="0"/>
        <charset val="1"/>
      </rPr>
      <t xml:space="preserve">9/21</t>
    </r>
    <r>
      <rPr>
        <sz val="10"/>
        <rFont val="WenQuanYi Zen Hei"/>
        <family val="2"/>
      </rPr>
      <t xml:space="preserve">주 급감</t>
    </r>
    <r>
      <rPr>
        <sz val="10"/>
        <rFont val="Arial"/>
        <family val="0"/>
        <charset val="1"/>
      </rPr>
      <t xml:space="preserve">(0.45</t>
    </r>
    <r>
      <rPr>
        <sz val="10"/>
        <rFont val="WenQuanYi Zen Hei"/>
        <family val="2"/>
      </rPr>
      <t xml:space="preserve">억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후 회복 중</t>
    </r>
    <r>
      <rPr>
        <sz val="10"/>
        <rFont val="Arial"/>
        <family val="0"/>
        <charset val="1"/>
      </rPr>
      <t xml:space="preserve">.</t>
    </r>
  </si>
  <si>
    <t xml:space="preserve">신규 안착</t>
  </si>
  <si>
    <r>
      <rPr>
        <sz val="10"/>
        <rFont val="WenQuanYi Zen Hei"/>
        <family val="2"/>
      </rPr>
      <t xml:space="preserve">버거앤타코</t>
    </r>
    <r>
      <rPr>
        <sz val="10"/>
        <rFont val="Arial"/>
        <family val="0"/>
        <charset val="1"/>
      </rPr>
      <t xml:space="preserve">(8</t>
    </r>
    <r>
      <rPr>
        <sz val="10"/>
        <rFont val="WenQuanYi Zen Hei"/>
        <family val="2"/>
      </rPr>
      <t xml:space="preserve">월 말 첫 매출 후 주 </t>
    </r>
    <r>
      <rPr>
        <sz val="10"/>
        <rFont val="Arial"/>
        <family val="0"/>
        <charset val="1"/>
      </rPr>
      <t xml:space="preserve">0.3</t>
    </r>
    <r>
      <rPr>
        <sz val="10"/>
        <rFont val="WenQuanYi Zen Hei"/>
        <family val="2"/>
      </rPr>
      <t xml:space="preserve">억→</t>
    </r>
    <r>
      <rPr>
        <sz val="10"/>
        <rFont val="Arial"/>
        <family val="0"/>
        <charset val="1"/>
      </rPr>
      <t xml:space="preserve">0.5</t>
    </r>
    <r>
      <rPr>
        <sz val="10"/>
        <rFont val="WenQuanYi Zen Hei"/>
        <family val="2"/>
      </rPr>
      <t xml:space="preserve">억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콩시루</t>
    </r>
    <r>
      <rPr>
        <sz val="10"/>
        <rFont val="Arial"/>
        <family val="0"/>
        <charset val="1"/>
      </rPr>
      <t xml:space="preserve">(+22%), </t>
    </r>
    <r>
      <rPr>
        <sz val="10"/>
        <rFont val="WenQuanYi Zen Hei"/>
        <family val="2"/>
      </rPr>
      <t xml:space="preserve">후참잘</t>
    </r>
    <r>
      <rPr>
        <sz val="10"/>
        <rFont val="Arial"/>
        <family val="0"/>
        <charset val="1"/>
      </rPr>
      <t xml:space="preserve">(+10%)</t>
    </r>
    <r>
      <rPr>
        <sz val="10"/>
        <rFont val="WenQuanYi Zen Hei"/>
        <family val="2"/>
      </rPr>
      <t xml:space="preserve">이 빠르게 매출 확대 중</t>
    </r>
    <r>
      <rPr>
        <sz val="10"/>
        <rFont val="Arial"/>
        <family val="0"/>
        <charset val="1"/>
      </rPr>
      <t xml:space="preserve">.</t>
    </r>
  </si>
  <si>
    <t xml:space="preserve">해석 주의</t>
  </si>
  <si>
    <r>
      <rPr>
        <sz val="10"/>
        <rFont val="WenQuanYi Zen Hei"/>
        <family val="2"/>
      </rPr>
      <t xml:space="preserve">지미존스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감자마켓 등은 주간 매출에 큰 음수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정산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차감 추정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가 있어 주간 증감률이 왜곡됨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최근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주에 추석 연휴 주</t>
    </r>
    <r>
      <rPr>
        <sz val="10"/>
        <rFont val="Arial"/>
        <family val="0"/>
        <charset val="1"/>
      </rPr>
      <t xml:space="preserve">(9/21~27)</t>
    </r>
    <r>
      <rPr>
        <sz val="10"/>
        <rFont val="WenQuanYi Zen Hei"/>
        <family val="2"/>
      </rPr>
      <t xml:space="preserve">가 포함됨</t>
    </r>
    <r>
      <rPr>
        <sz val="10"/>
        <rFont val="Arial"/>
        <family val="0"/>
        <charset val="1"/>
      </rPr>
      <t xml:space="preserve">. → 5. </t>
    </r>
    <r>
      <rPr>
        <sz val="10"/>
        <rFont val="WenQuanYi Zen Hei"/>
        <family val="2"/>
      </rPr>
      <t xml:space="preserve">확인 필요 사항 참조</t>
    </r>
  </si>
  <si>
    <r>
      <rPr>
        <sz val="9"/>
        <color rgb="FF595959"/>
        <rFont val="WenQuanYi Zen Hei"/>
        <family val="2"/>
      </rPr>
      <t xml:space="preserve">※ 본문 수치는 작성 시점</t>
    </r>
    <r>
      <rPr>
        <sz val="9"/>
        <color rgb="FF595959"/>
        <rFont val="Arial"/>
        <family val="0"/>
        <charset val="1"/>
      </rPr>
      <t xml:space="preserve">(10/19) </t>
    </r>
    <r>
      <rPr>
        <sz val="9"/>
        <color rgb="FF595959"/>
        <rFont val="WenQuanYi Zen Hei"/>
        <family val="2"/>
      </rPr>
      <t xml:space="preserve">데이터 기준 해석이며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아래 표와 다른 시트의 수치는 수식으로 연동됨</t>
    </r>
    <r>
      <rPr>
        <sz val="9"/>
        <color rgb="FF595959"/>
        <rFont val="Arial"/>
        <family val="0"/>
        <charset val="1"/>
      </rPr>
      <t xml:space="preserve">.</t>
    </r>
  </si>
  <si>
    <r>
      <rPr>
        <b val="true"/>
        <sz val="12"/>
        <color rgb="FF1F3864"/>
        <rFont val="Arial"/>
        <family val="0"/>
        <charset val="1"/>
      </rPr>
      <t xml:space="preserve">4-1. </t>
    </r>
    <r>
      <rPr>
        <b val="true"/>
        <sz val="12"/>
        <color rgb="FF1F3864"/>
        <rFont val="WenQuanYi Zen Hei"/>
        <family val="2"/>
      </rPr>
      <t xml:space="preserve">주목할 걸개처 </t>
    </r>
    <r>
      <rPr>
        <b val="true"/>
        <sz val="12"/>
        <color rgb="FF1F3864"/>
        <rFont val="Arial"/>
        <family val="0"/>
        <charset val="1"/>
      </rPr>
      <t xml:space="preserve">(</t>
    </r>
    <r>
      <rPr>
        <b val="true"/>
        <sz val="12"/>
        <color rgb="FF1F3864"/>
        <rFont val="WenQuanYi Zen Hei"/>
        <family val="2"/>
      </rPr>
      <t xml:space="preserve">수치는 요약 시트 연동</t>
    </r>
    <r>
      <rPr>
        <b val="true"/>
        <sz val="12"/>
        <color rgb="FF1F3864"/>
        <rFont val="Arial"/>
        <family val="0"/>
        <charset val="1"/>
      </rPr>
      <t xml:space="preserve">)</t>
    </r>
  </si>
  <si>
    <t xml:space="preserve">본점명</t>
  </si>
  <si>
    <r>
      <rPr>
        <b val="true"/>
        <sz val="10"/>
        <color rgb="FFFFFFFF"/>
        <rFont val="WenQuanYi Zen Hei"/>
        <family val="2"/>
      </rPr>
      <t xml:space="preserve">최근 </t>
    </r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주 매출</t>
    </r>
  </si>
  <si>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주 증감률</t>
    </r>
  </si>
  <si>
    <r>
      <rPr>
        <b val="true"/>
        <sz val="10"/>
        <color rgb="FFFFFFFF"/>
        <rFont val="Arial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월 매출</t>
    </r>
  </si>
  <si>
    <r>
      <rPr>
        <b val="true"/>
        <sz val="10"/>
        <color rgb="FFFFFFFF"/>
        <rFont val="Arial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월 전월 대비</t>
    </r>
  </si>
  <si>
    <r>
      <rPr>
        <b val="true"/>
        <sz val="10"/>
        <color rgb="FFFFFFFF"/>
        <rFont val="Arial"/>
        <family val="0"/>
        <charset val="1"/>
      </rPr>
      <t xml:space="preserve">1Q→3Q </t>
    </r>
    <r>
      <rPr>
        <b val="true"/>
        <sz val="10"/>
        <color rgb="FFFFFFFF"/>
        <rFont val="WenQuanYi Zen Hei"/>
        <family val="2"/>
      </rPr>
      <t xml:space="preserve">증감률</t>
    </r>
  </si>
  <si>
    <t xml:space="preserve">단기 추세</t>
  </si>
  <si>
    <t xml:space="preserve">장기 추세</t>
  </si>
  <si>
    <t xml:space="preserve">장기 성장</t>
  </si>
  <si>
    <t xml:space="preserve">준코 대분류</t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</si>
  <si>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유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가로수브랜딩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숯토리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</si>
  <si>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차얌</t>
    </r>
    <r>
      <rPr>
        <sz val="10"/>
        <rFont val="Arial"/>
        <family val="0"/>
        <charset val="1"/>
      </rPr>
      <t xml:space="preserve">,88</t>
    </r>
    <r>
      <rPr>
        <sz val="10"/>
        <rFont val="WenQuanYi Zen Hei"/>
        <family val="2"/>
      </rPr>
      <t xml:space="preserve">핫도그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주식회사 프로젝트비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대분류</t>
    </r>
  </si>
  <si>
    <r>
      <rPr>
        <sz val="10"/>
        <rFont val="WenQuanYi Zen Hei"/>
        <family val="2"/>
      </rPr>
      <t xml:space="preserve">경성맥주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대분류</t>
    </r>
  </si>
  <si>
    <t xml:space="preserve">버거앤타코</t>
  </si>
  <si>
    <t xml:space="preserve">장기 하락</t>
  </si>
  <si>
    <r>
      <rPr>
        <sz val="10"/>
        <rFont val="Arial"/>
        <family val="0"/>
        <charset val="1"/>
      </rPr>
      <t xml:space="preserve">FR_</t>
    </r>
    <r>
      <rPr>
        <sz val="10"/>
        <rFont val="WenQuanYi Zen Hei"/>
        <family val="2"/>
      </rPr>
      <t xml:space="preserve">미스앤미스터</t>
    </r>
  </si>
  <si>
    <t xml:space="preserve">메이크어딜리버리 대분류</t>
  </si>
  <si>
    <t xml:space="preserve">함께그린 대코드</t>
  </si>
  <si>
    <t xml:space="preserve">형제푸드 대코드</t>
  </si>
  <si>
    <t xml:space="preserve">척척밥상 대코드</t>
  </si>
  <si>
    <t xml:space="preserve">최대 비중</t>
  </si>
  <si>
    <t xml:space="preserve">역전할머니맥주 대</t>
  </si>
  <si>
    <r>
      <rPr>
        <b val="true"/>
        <sz val="12"/>
        <color rgb="FF1F3864"/>
        <rFont val="Arial"/>
        <family val="0"/>
        <charset val="1"/>
      </rPr>
      <t xml:space="preserve">5. </t>
    </r>
    <r>
      <rPr>
        <b val="true"/>
        <sz val="12"/>
        <color rgb="FF1F3864"/>
        <rFont val="WenQuanYi Zen Hei"/>
        <family val="2"/>
      </rPr>
      <t xml:space="preserve">확인 필요 사항</t>
    </r>
  </si>
  <si>
    <r>
      <rPr>
        <sz val="9"/>
        <color rgb="FF595959"/>
        <rFont val="WenQuanYi Zen Hei"/>
        <family val="2"/>
      </rPr>
      <t xml:space="preserve">※ 노란 칸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확인 결과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담당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에 확인 내용을 기입해 주세요</t>
    </r>
    <r>
      <rPr>
        <sz val="9"/>
        <color rgb="FF595959"/>
        <rFont val="Arial"/>
        <family val="0"/>
        <charset val="1"/>
      </rPr>
      <t xml:space="preserve">.</t>
    </r>
  </si>
  <si>
    <t xml:space="preserve">No</t>
  </si>
  <si>
    <t xml:space="preserve">유형</t>
  </si>
  <si>
    <t xml:space="preserve">대상</t>
  </si>
  <si>
    <t xml:space="preserve">내용</t>
  </si>
  <si>
    <t xml:space="preserve">영향</t>
  </si>
  <si>
    <t xml:space="preserve">확인 요청</t>
  </si>
  <si>
    <t xml:space="preserve">확인 결과</t>
  </si>
  <si>
    <t xml:space="preserve">담당</t>
  </si>
  <si>
    <t xml:space="preserve">데이터 정합성</t>
  </si>
  <si>
    <t xml:space="preserve">후참잘</t>
  </si>
  <si>
    <r>
      <rPr>
        <sz val="10"/>
        <rFont val="WenQuanYi Zen Hei"/>
        <family val="2"/>
      </rPr>
      <t xml:space="preserve">주간은 </t>
    </r>
    <r>
      <rPr>
        <sz val="10"/>
        <rFont val="Arial"/>
        <family val="0"/>
        <charset val="1"/>
      </rPr>
      <t xml:space="preserve">B6135(</t>
    </r>
    <r>
      <rPr>
        <sz val="10"/>
        <rFont val="WenQuanYi Zen Hei"/>
        <family val="2"/>
      </rPr>
      <t xml:space="preserve">후참잘 대분류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월간은 </t>
    </r>
    <r>
      <rPr>
        <sz val="10"/>
        <rFont val="Arial"/>
        <family val="0"/>
        <charset val="1"/>
      </rPr>
      <t xml:space="preserve">S258544(3pl)</t>
    </r>
    <r>
      <rPr>
        <sz val="10"/>
        <rFont val="WenQuanYi Zen Hei"/>
        <family val="2"/>
      </rPr>
      <t xml:space="preserve">만 집계</t>
    </r>
    <r>
      <rPr>
        <sz val="10"/>
        <rFont val="Arial"/>
        <family val="0"/>
        <charset val="1"/>
      </rPr>
      <t xml:space="preserve">. 9</t>
    </r>
    <r>
      <rPr>
        <sz val="10"/>
        <rFont val="WenQuanYi Zen Hei"/>
        <family val="2"/>
      </rPr>
      <t xml:space="preserve">월 주간 합 약 </t>
    </r>
    <r>
      <rPr>
        <sz val="10"/>
        <rFont val="Arial"/>
        <family val="0"/>
        <charset val="1"/>
      </rPr>
      <t xml:space="preserve">7.3</t>
    </r>
    <r>
      <rPr>
        <sz val="10"/>
        <rFont val="WenQuanYi Zen Hei"/>
        <family val="2"/>
      </rPr>
      <t xml:space="preserve">억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월간 </t>
    </r>
    <r>
      <rPr>
        <sz val="10"/>
        <rFont val="Arial"/>
        <family val="0"/>
        <charset val="1"/>
      </rPr>
      <t xml:space="preserve">0.4</t>
    </r>
    <r>
      <rPr>
        <sz val="10"/>
        <rFont val="WenQuanYi Zen Hei"/>
        <family val="2"/>
      </rPr>
      <t xml:space="preserve">억</t>
    </r>
  </si>
  <si>
    <r>
      <rPr>
        <sz val="10"/>
        <rFont val="WenQuanYi Zen Hei"/>
        <family val="2"/>
      </rPr>
      <t xml:space="preserve">월간 매출 과소 → 장기 추세 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신규 발생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으로 오판</t>
    </r>
  </si>
  <si>
    <t xml:space="preserve">월간 시트 집계 코드 통합 필요 여부</t>
  </si>
  <si>
    <t xml:space="preserve">샤브온당</t>
  </si>
  <si>
    <r>
      <rPr>
        <sz val="10"/>
        <rFont val="WenQuanYi Zen Hei"/>
        <family val="2"/>
      </rPr>
      <t xml:space="preserve">주간 </t>
    </r>
    <r>
      <rPr>
        <sz val="10"/>
        <rFont val="Arial"/>
        <family val="0"/>
        <charset val="1"/>
      </rPr>
      <t xml:space="preserve">B6365 / </t>
    </r>
    <r>
      <rPr>
        <sz val="10"/>
        <rFont val="WenQuanYi Zen Hei"/>
        <family val="2"/>
      </rPr>
      <t xml:space="preserve">월간 </t>
    </r>
    <r>
      <rPr>
        <sz val="10"/>
        <rFont val="Arial"/>
        <family val="0"/>
        <charset val="1"/>
      </rPr>
      <t xml:space="preserve">S261783 </t>
    </r>
    <r>
      <rPr>
        <sz val="10"/>
        <rFont val="WenQuanYi Zen Hei"/>
        <family val="2"/>
      </rPr>
      <t xml:space="preserve">코드 상이</t>
    </r>
    <r>
      <rPr>
        <sz val="10"/>
        <rFont val="Arial"/>
        <family val="0"/>
        <charset val="1"/>
      </rPr>
      <t xml:space="preserve">. 9</t>
    </r>
    <r>
      <rPr>
        <sz val="10"/>
        <rFont val="WenQuanYi Zen Hei"/>
        <family val="2"/>
      </rPr>
      <t xml:space="preserve">월 주간 약 </t>
    </r>
    <r>
      <rPr>
        <sz val="10"/>
        <rFont val="Arial"/>
        <family val="0"/>
        <charset val="1"/>
      </rPr>
      <t xml:space="preserve">0.35</t>
    </r>
    <r>
      <rPr>
        <sz val="10"/>
        <rFont val="WenQuanYi Zen Hei"/>
        <family val="2"/>
      </rPr>
      <t xml:space="preserve">억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월간 </t>
    </r>
    <r>
      <rPr>
        <sz val="10"/>
        <rFont val="Arial"/>
        <family val="0"/>
        <charset val="1"/>
      </rPr>
      <t xml:space="preserve">0.02</t>
    </r>
    <r>
      <rPr>
        <sz val="10"/>
        <rFont val="WenQuanYi Zen Hei"/>
        <family val="2"/>
      </rPr>
      <t xml:space="preserve">억</t>
    </r>
  </si>
  <si>
    <t xml:space="preserve">월간 매출 과소</t>
  </si>
  <si>
    <t xml:space="preserve">동일 걸개처 여부 및 코드 정리</t>
  </si>
  <si>
    <t xml:space="preserve">지미존스</t>
  </si>
  <si>
    <r>
      <rPr>
        <sz val="10"/>
        <rFont val="WenQuanYi Zen Hei"/>
        <family val="2"/>
      </rPr>
      <t xml:space="preserve">매월 말 주차에 </t>
    </r>
    <r>
      <rPr>
        <sz val="10"/>
        <rFont val="Arial"/>
        <family val="0"/>
        <charset val="1"/>
      </rPr>
      <t xml:space="preserve">-0.9~-1.6</t>
    </r>
    <r>
      <rPr>
        <sz val="10"/>
        <rFont val="WenQuanYi Zen Hei"/>
        <family val="2"/>
      </rPr>
      <t xml:space="preserve">억 음수 매출 반복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최근 </t>
    </r>
    <r>
      <rPr>
        <sz val="10"/>
        <rFont val="Arial"/>
        <family val="0"/>
        <charset val="1"/>
      </rPr>
      <t xml:space="preserve">10/1</t>
    </r>
    <r>
      <rPr>
        <sz val="10"/>
        <rFont val="WenQuanYi Zen Hei"/>
        <family val="2"/>
      </rPr>
      <t xml:space="preserve">주 </t>
    </r>
    <r>
      <rPr>
        <sz val="10"/>
        <rFont val="Arial"/>
        <family val="0"/>
        <charset val="1"/>
      </rPr>
      <t xml:space="preserve">-1.38</t>
    </r>
    <r>
      <rPr>
        <sz val="10"/>
        <rFont val="WenQuanYi Zen Hei"/>
        <family val="2"/>
      </rPr>
      <t xml:space="preserve">억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</si>
  <si>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주간 증감률 왜곡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최근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주 </t>
    </r>
    <r>
      <rPr>
        <sz val="10"/>
        <rFont val="Arial"/>
        <family val="0"/>
        <charset val="1"/>
      </rPr>
      <t xml:space="preserve">-32%</t>
    </r>
    <r>
      <rPr>
        <sz val="10"/>
        <rFont val="WenQuanYi Zen Hei"/>
        <family val="2"/>
      </rPr>
      <t xml:space="preserve">는 실제 감소 아님 가능성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</si>
  <si>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음수 성격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정산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리베이트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반품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확인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주간 분석 시 처리 기준</t>
    </r>
  </si>
  <si>
    <t xml:space="preserve">감자마켓</t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</si>
  <si>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월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주</t>
    </r>
    <r>
      <rPr>
        <sz val="10"/>
        <rFont val="Arial"/>
        <family val="0"/>
        <charset val="1"/>
      </rPr>
      <t xml:space="preserve">(9/28~10/4) -7,476</t>
    </r>
    <r>
      <rPr>
        <sz val="10"/>
        <rFont val="WenQuanYi Zen Hei"/>
        <family val="2"/>
      </rPr>
      <t xml:space="preserve">만원 음수 매출</t>
    </r>
  </si>
  <si>
    <r>
      <rPr>
        <sz val="10"/>
        <rFont val="WenQuanYi Zen Hei"/>
        <family val="2"/>
      </rPr>
      <t xml:space="preserve">최근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주 증감률 왜곡</t>
    </r>
  </si>
  <si>
    <r>
      <rPr>
        <sz val="10"/>
        <rFont val="WenQuanYi Zen Hei"/>
        <family val="2"/>
      </rPr>
      <t xml:space="preserve">일회성 반품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정정 여부</t>
    </r>
  </si>
  <si>
    <r>
      <rPr>
        <sz val="10"/>
        <rFont val="WenQuanYi Zen Hei"/>
        <family val="2"/>
      </rPr>
      <t xml:space="preserve">추석 주 </t>
    </r>
    <r>
      <rPr>
        <sz val="10"/>
        <rFont val="Arial"/>
        <family val="0"/>
        <charset val="1"/>
      </rPr>
      <t xml:space="preserve">(9/21~27)</t>
    </r>
  </si>
  <si>
    <r>
      <rPr>
        <sz val="10"/>
        <rFont val="WenQuanYi Zen Hei"/>
        <family val="2"/>
      </rPr>
      <t xml:space="preserve">주문수 </t>
    </r>
    <r>
      <rPr>
        <sz val="10"/>
        <rFont val="Arial"/>
        <family val="0"/>
        <charset val="1"/>
      </rPr>
      <t xml:space="preserve">9,438</t>
    </r>
    <r>
      <rPr>
        <sz val="10"/>
        <rFont val="WenQuanYi Zen Hei"/>
        <family val="2"/>
      </rPr>
      <t xml:space="preserve">건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평시 약 </t>
    </r>
    <r>
      <rPr>
        <sz val="10"/>
        <rFont val="Arial"/>
        <family val="0"/>
        <charset val="1"/>
      </rPr>
      <t xml:space="preserve">1.3</t>
    </r>
    <r>
      <rPr>
        <sz val="10"/>
        <rFont val="WenQuanYi Zen Hei"/>
        <family val="2"/>
      </rPr>
      <t xml:space="preserve">만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인데 매출 </t>
    </r>
    <r>
      <rPr>
        <sz val="10"/>
        <rFont val="Arial"/>
        <family val="0"/>
        <charset val="1"/>
      </rPr>
      <t xml:space="preserve">54.5</t>
    </r>
    <r>
      <rPr>
        <sz val="10"/>
        <rFont val="WenQuanYi Zen Hei"/>
        <family val="2"/>
      </rPr>
      <t xml:space="preserve">억으로 높고 객단가 </t>
    </r>
    <r>
      <rPr>
        <sz val="10"/>
        <rFont val="Arial"/>
        <family val="0"/>
        <charset val="1"/>
      </rPr>
      <t xml:space="preserve">57.8</t>
    </r>
    <r>
      <rPr>
        <sz val="10"/>
        <rFont val="WenQuanYi Zen Hei"/>
        <family val="2"/>
      </rPr>
      <t xml:space="preserve">만원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평시 약 </t>
    </r>
    <r>
      <rPr>
        <sz val="10"/>
        <rFont val="Arial"/>
        <family val="0"/>
        <charset val="1"/>
      </rPr>
      <t xml:space="preserve">38</t>
    </r>
    <r>
      <rPr>
        <sz val="10"/>
        <rFont val="WenQuanYi Zen Hei"/>
        <family val="2"/>
      </rPr>
      <t xml:space="preserve">만</t>
    </r>
    <r>
      <rPr>
        <sz val="10"/>
        <rFont val="Arial"/>
        <family val="0"/>
        <charset val="1"/>
      </rPr>
      <t xml:space="preserve">)</t>
    </r>
  </si>
  <si>
    <t xml:space="preserve">단기 추세 판정 영향</t>
  </si>
  <si>
    <r>
      <rPr>
        <sz val="10"/>
        <rFont val="WenQuanYi Zen Hei"/>
        <family val="2"/>
      </rPr>
      <t xml:space="preserve">연휴 전 선발주 반영인지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집계 기간 오류인지</t>
    </r>
  </si>
  <si>
    <t xml:space="preserve">코드 정리</t>
  </si>
  <si>
    <t xml:space="preserve">돈카춘</t>
  </si>
  <si>
    <r>
      <rPr>
        <sz val="10"/>
        <rFont val="Arial"/>
        <family val="0"/>
        <charset val="1"/>
      </rPr>
      <t xml:space="preserve">S227002(1~4</t>
    </r>
    <r>
      <rPr>
        <sz val="10"/>
        <rFont val="WenQuanYi Zen Hei"/>
        <family val="2"/>
      </rPr>
      <t xml:space="preserve">월</t>
    </r>
    <r>
      <rPr>
        <sz val="10"/>
        <rFont val="Arial"/>
        <family val="0"/>
        <charset val="1"/>
      </rPr>
      <t xml:space="preserve">) → S254367(5</t>
    </r>
    <r>
      <rPr>
        <sz val="10"/>
        <rFont val="WenQuanYi Zen Hei"/>
        <family val="2"/>
      </rPr>
      <t xml:space="preserve">월</t>
    </r>
    <r>
      <rPr>
        <sz val="10"/>
        <rFont val="Arial"/>
        <family val="0"/>
        <charset val="1"/>
      </rPr>
      <t xml:space="preserve">~)</t>
    </r>
    <r>
      <rPr>
        <sz val="10"/>
        <rFont val="WenQuanYi Zen Hei"/>
        <family val="2"/>
      </rPr>
      <t xml:space="preserve">로 코드 변경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분석에서는 합산 처리</t>
    </r>
  </si>
  <si>
    <t xml:space="preserve">합산하지 않으면 추세 단절</t>
  </si>
  <si>
    <t xml:space="preserve">합산 처리 적정성</t>
  </si>
  <si>
    <t xml:space="preserve">무마진덮밥</t>
  </si>
  <si>
    <r>
      <rPr>
        <sz val="10"/>
        <rFont val="Arial"/>
        <family val="0"/>
        <charset val="1"/>
      </rPr>
      <t xml:space="preserve">S193761 / S252670 </t>
    </r>
    <r>
      <rPr>
        <sz val="10"/>
        <rFont val="WenQuanYi Zen Hei"/>
        <family val="2"/>
      </rPr>
      <t xml:space="preserve">월별로 번갈아 매출 발생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분석에서는 합산 처리</t>
    </r>
  </si>
  <si>
    <t xml:space="preserve">한둘카츠</t>
  </si>
  <si>
    <r>
      <rPr>
        <sz val="10"/>
        <rFont val="Arial"/>
        <family val="0"/>
        <charset val="1"/>
      </rPr>
      <t xml:space="preserve">S223635(1~2</t>
    </r>
    <r>
      <rPr>
        <sz val="10"/>
        <rFont val="WenQuanYi Zen Hei"/>
        <family val="2"/>
      </rPr>
      <t xml:space="preserve">월</t>
    </r>
    <r>
      <rPr>
        <sz val="10"/>
        <rFont val="Arial"/>
        <family val="0"/>
        <charset val="1"/>
      </rPr>
      <t xml:space="preserve">) → </t>
    </r>
    <r>
      <rPr>
        <sz val="10"/>
        <rFont val="WenQuanYi Zen Hei"/>
        <family val="2"/>
      </rPr>
      <t xml:space="preserve">한둘카츠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)_</t>
    </r>
    <r>
      <rPr>
        <sz val="10"/>
        <rFont val="WenQuanYi Zen Hei"/>
        <family val="2"/>
      </rPr>
      <t xml:space="preserve">위드인푸드 </t>
    </r>
    <r>
      <rPr>
        <sz val="10"/>
        <rFont val="Arial"/>
        <family val="0"/>
        <charset val="1"/>
      </rPr>
      <t xml:space="preserve">S248539(3~7</t>
    </r>
    <r>
      <rPr>
        <sz val="10"/>
        <rFont val="WenQuanYi Zen Hei"/>
        <family val="2"/>
      </rPr>
      <t xml:space="preserve">월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로 이관된 것으로 보임</t>
    </r>
    <r>
      <rPr>
        <sz val="10"/>
        <rFont val="Arial"/>
        <family val="0"/>
        <charset val="1"/>
      </rPr>
      <t xml:space="preserve">. 8</t>
    </r>
    <r>
      <rPr>
        <sz val="10"/>
        <rFont val="WenQuanYi Zen Hei"/>
        <family val="2"/>
      </rPr>
      <t xml:space="preserve">월 이후 매출 </t>
    </r>
    <r>
      <rPr>
        <sz val="10"/>
        <rFont val="Arial"/>
        <family val="0"/>
        <charset val="1"/>
      </rPr>
      <t xml:space="preserve">0</t>
    </r>
  </si>
  <si>
    <t xml:space="preserve">별도 행으로 관리 중</t>
  </si>
  <si>
    <r>
      <rPr>
        <sz val="10"/>
        <rFont val="WenQuanYi Zen Hei"/>
        <family val="2"/>
      </rPr>
      <t xml:space="preserve">동일 걸개처 여부</t>
    </r>
    <r>
      <rPr>
        <sz val="10"/>
        <rFont val="Arial"/>
        <family val="0"/>
        <charset val="1"/>
      </rPr>
      <t xml:space="preserve">, 8</t>
    </r>
    <r>
      <rPr>
        <sz val="10"/>
        <rFont val="WenQuanYi Zen Hei"/>
        <family val="2"/>
      </rPr>
      <t xml:space="preserve">월 이후 거래 상태</t>
    </r>
  </si>
  <si>
    <t xml:space="preserve">영업 확인</t>
  </si>
  <si>
    <t xml:space="preserve">트리플</t>
  </si>
  <si>
    <r>
      <rPr>
        <sz val="10"/>
        <rFont val="Arial"/>
        <family val="0"/>
        <charset val="1"/>
      </rPr>
      <t xml:space="preserve">9/14</t>
    </r>
    <r>
      <rPr>
        <sz val="10"/>
        <rFont val="WenQuanYi Zen Hei"/>
        <family val="2"/>
      </rPr>
      <t xml:space="preserve">주 </t>
    </r>
    <r>
      <rPr>
        <sz val="10"/>
        <rFont val="Arial"/>
        <family val="0"/>
        <charset val="1"/>
      </rPr>
      <t xml:space="preserve">100</t>
    </r>
    <r>
      <rPr>
        <sz val="10"/>
        <rFont val="WenQuanYi Zen Hei"/>
        <family val="2"/>
      </rPr>
      <t xml:space="preserve">만원으로 급감 후 </t>
    </r>
    <r>
      <rPr>
        <sz val="10"/>
        <rFont val="Arial"/>
        <family val="0"/>
        <charset val="1"/>
      </rPr>
      <t xml:space="preserve">9/21</t>
    </r>
    <r>
      <rPr>
        <sz val="10"/>
        <rFont val="WenQuanYi Zen Hei"/>
        <family val="2"/>
      </rPr>
      <t xml:space="preserve">주부터 매출 </t>
    </r>
    <r>
      <rPr>
        <sz val="10"/>
        <rFont val="Arial"/>
        <family val="0"/>
        <charset val="1"/>
      </rPr>
      <t xml:space="preserve">0 (</t>
    </r>
    <r>
      <rPr>
        <sz val="10"/>
        <rFont val="WenQuanYi Zen Hei"/>
        <family val="2"/>
      </rPr>
      <t xml:space="preserve">그 전 주당 </t>
    </r>
    <r>
      <rPr>
        <sz val="10"/>
        <rFont val="Arial"/>
        <family val="0"/>
        <charset val="1"/>
      </rPr>
      <t xml:space="preserve">0.14~0.23</t>
    </r>
    <r>
      <rPr>
        <sz val="10"/>
        <rFont val="WenQuanYi Zen Hei"/>
        <family val="2"/>
      </rPr>
      <t xml:space="preserve">억</t>
    </r>
    <r>
      <rPr>
        <sz val="10"/>
        <rFont val="Arial"/>
        <family val="0"/>
        <charset val="1"/>
      </rPr>
      <t xml:space="preserve">)</t>
    </r>
  </si>
  <si>
    <t xml:space="preserve">매출 중단 판정</t>
  </si>
  <si>
    <r>
      <rPr>
        <sz val="10"/>
        <rFont val="WenQuanYi Zen Hei"/>
        <family val="2"/>
      </rPr>
      <t xml:space="preserve">거래 종료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일시 중단 여부</t>
    </r>
  </si>
  <si>
    <t xml:space="preserve">카쿠레가</t>
  </si>
  <si>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월 말 이후 매출 없음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소액 음수만 발생</t>
    </r>
    <r>
      <rPr>
        <sz val="10"/>
        <rFont val="Arial"/>
        <family val="0"/>
        <charset val="1"/>
      </rPr>
      <t xml:space="preserve">)</t>
    </r>
  </si>
  <si>
    <t xml:space="preserve">매출 중단</t>
  </si>
  <si>
    <t xml:space="preserve">거래 종료 여부</t>
  </si>
  <si>
    <r>
      <rPr>
        <sz val="10"/>
        <rFont val="WenQuanYi Zen Hei"/>
        <family val="2"/>
      </rPr>
      <t xml:space="preserve">에쓰와이푸드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만선집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꼬알라파이</t>
    </r>
  </si>
  <si>
    <r>
      <rPr>
        <sz val="10"/>
        <rFont val="WenQuanYi Zen Hei"/>
        <family val="2"/>
      </rPr>
      <t xml:space="preserve">최근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주 매출 </t>
    </r>
    <r>
      <rPr>
        <sz val="10"/>
        <rFont val="Arial"/>
        <family val="0"/>
        <charset val="1"/>
      </rPr>
      <t xml:space="preserve">0</t>
    </r>
  </si>
  <si>
    <t xml:space="preserve">거래 상태 확인</t>
  </si>
  <si>
    <r>
      <rPr>
        <sz val="10"/>
        <rFont val="WenQuanYi Zen Hei"/>
        <family val="2"/>
      </rPr>
      <t xml:space="preserve">척척밥상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오백국수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디케이푸드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치킨플러스</t>
    </r>
  </si>
  <si>
    <r>
      <rPr>
        <sz val="10"/>
        <rFont val="WenQuanYi Zen Hei"/>
        <family val="2"/>
      </rPr>
      <t xml:space="preserve">최근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주 </t>
    </r>
    <r>
      <rPr>
        <sz val="10"/>
        <rFont val="Arial"/>
        <family val="0"/>
        <charset val="1"/>
      </rPr>
      <t xml:space="preserve">-13~-29% </t>
    </r>
    <r>
      <rPr>
        <sz val="10"/>
        <rFont val="WenQuanYi Zen Hei"/>
        <family val="2"/>
      </rPr>
      <t xml:space="preserve">감소</t>
    </r>
  </si>
  <si>
    <t xml:space="preserve">상위권 걸개처 매출 감소</t>
  </si>
  <si>
    <r>
      <rPr>
        <sz val="10"/>
        <rFont val="WenQuanYi Zen Hei"/>
        <family val="2"/>
      </rPr>
      <t xml:space="preserve">감소 원인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점포 이탈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발주 변화 등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</si>
  <si>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전체 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월 실적</t>
    </r>
  </si>
  <si>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월 매출 전월 대비 </t>
    </r>
    <r>
      <rPr>
        <sz val="10"/>
        <rFont val="Arial"/>
        <family val="0"/>
        <charset val="1"/>
      </rPr>
      <t xml:space="preserve">-6.3%, 2</t>
    </r>
    <r>
      <rPr>
        <sz val="10"/>
        <rFont val="WenQuanYi Zen Hei"/>
        <family val="2"/>
      </rPr>
      <t xml:space="preserve">개월 연속 감소</t>
    </r>
  </si>
  <si>
    <t xml:space="preserve">월간 실적 하락</t>
  </si>
  <si>
    <t xml:space="preserve">추석 영업일 영향 외 구조적 요인 여부</t>
  </si>
  <si>
    <t xml:space="preserve">원본 서식</t>
  </si>
  <si>
    <r>
      <rPr>
        <sz val="10"/>
        <rFont val="Arial"/>
        <family val="0"/>
        <charset val="1"/>
      </rPr>
      <t xml:space="preserve">Monthly </t>
    </r>
    <r>
      <rPr>
        <sz val="10"/>
        <rFont val="WenQuanYi Zen Hei"/>
        <family val="2"/>
      </rPr>
      <t xml:space="preserve">시트</t>
    </r>
  </si>
  <si>
    <r>
      <rPr>
        <sz val="10"/>
        <rFont val="WenQuanYi Zen Hei"/>
        <family val="2"/>
      </rPr>
      <t xml:space="preserve">값 없는 셀 </t>
    </r>
    <r>
      <rPr>
        <sz val="10"/>
        <rFont val="Arial"/>
        <family val="0"/>
        <charset val="1"/>
      </rPr>
      <t xml:space="preserve">770</t>
    </r>
    <r>
      <rPr>
        <sz val="10"/>
        <rFont val="WenQuanYi Zen Hei"/>
        <family val="2"/>
      </rPr>
      <t xml:space="preserve">개가 숫자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이 아닌 문자 </t>
    </r>
    <r>
      <rPr>
        <sz val="10"/>
        <rFont val="Arial"/>
        <family val="0"/>
        <charset val="1"/>
      </rPr>
      <t xml:space="preserve">"0 "</t>
    </r>
    <r>
      <rPr>
        <sz val="10"/>
        <rFont val="WenQuanYi Zen Hei"/>
        <family val="2"/>
      </rPr>
      <t xml:space="preserve">로 입력됨</t>
    </r>
  </si>
  <si>
    <r>
      <rPr>
        <sz val="10"/>
        <rFont val="Arial"/>
        <family val="0"/>
        <charset val="1"/>
      </rPr>
      <t xml:space="preserve">SUM</t>
    </r>
    <r>
      <rPr>
        <sz val="10"/>
        <rFont val="WenQuanYi Zen Hei"/>
        <family val="2"/>
      </rPr>
      <t xml:space="preserve">은 정상이나 다른 수식에서 오류 가능</t>
    </r>
  </si>
  <si>
    <r>
      <rPr>
        <sz val="10"/>
        <rFont val="WenQuanYi Zen Hei"/>
        <family val="2"/>
      </rPr>
      <t xml:space="preserve">숫자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으로 정리 권장</t>
    </r>
  </si>
  <si>
    <r>
      <rPr>
        <sz val="10"/>
        <rFont val="Arial"/>
        <family val="0"/>
        <charset val="1"/>
      </rPr>
      <t xml:space="preserve">Weekly </t>
    </r>
    <r>
      <rPr>
        <sz val="10"/>
        <rFont val="WenQuanYi Zen Hei"/>
        <family val="2"/>
      </rPr>
      <t xml:space="preserve">시트</t>
    </r>
  </si>
  <si>
    <r>
      <rPr>
        <sz val="10"/>
        <rFont val="Arial"/>
        <family val="0"/>
        <charset val="1"/>
      </rPr>
      <t xml:space="preserve">"3</t>
    </r>
    <r>
      <rPr>
        <sz val="10"/>
        <rFont val="WenQuanYi Zen Hei"/>
        <family val="2"/>
      </rPr>
      <t xml:space="preserve">월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주차</t>
    </r>
    <r>
      <rPr>
        <sz val="10"/>
        <rFont val="Arial"/>
        <family val="0"/>
        <charset val="1"/>
      </rPr>
      <t xml:space="preserve">" </t>
    </r>
    <r>
      <rPr>
        <sz val="10"/>
        <rFont val="WenQuanYi Zen Hei"/>
        <family val="2"/>
      </rPr>
      <t xml:space="preserve">다음 주가 </t>
    </r>
    <r>
      <rPr>
        <sz val="10"/>
        <rFont val="Arial"/>
        <family val="0"/>
        <charset val="1"/>
      </rPr>
      <t xml:space="preserve">"4</t>
    </r>
    <r>
      <rPr>
        <sz val="10"/>
        <rFont val="WenQuanYi Zen Hei"/>
        <family val="2"/>
      </rPr>
      <t xml:space="preserve">월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주차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로 표기</t>
    </r>
    <r>
      <rPr>
        <sz val="10"/>
        <rFont val="Arial"/>
        <family val="0"/>
        <charset val="1"/>
      </rPr>
      <t xml:space="preserve">("4</t>
    </r>
    <r>
      <rPr>
        <sz val="10"/>
        <rFont val="WenQuanYi Zen Hei"/>
        <family val="2"/>
      </rPr>
      <t xml:space="preserve">월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주차</t>
    </r>
    <r>
      <rPr>
        <sz val="10"/>
        <rFont val="Arial"/>
        <family val="0"/>
        <charset val="1"/>
      </rPr>
      <t xml:space="preserve">" </t>
    </r>
    <r>
      <rPr>
        <sz val="10"/>
        <rFont val="WenQuanYi Zen Hei"/>
        <family val="2"/>
      </rPr>
      <t xml:space="preserve">누락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날짜는 연속</t>
    </r>
  </si>
  <si>
    <t xml:space="preserve">주차 라벨 혼동</t>
  </si>
  <si>
    <t xml:space="preserve">주차 라벨 정정</t>
  </si>
  <si>
    <r>
      <rPr>
        <sz val="10"/>
        <rFont val="WenQuanYi Zen Hei"/>
        <family val="2"/>
      </rPr>
      <t xml:space="preserve">길조아리랑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우이락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빨콩커피</t>
    </r>
  </si>
  <si>
    <r>
      <rPr>
        <sz val="10"/>
        <rFont val="WenQuanYi Zen Hei"/>
        <family val="2"/>
      </rPr>
      <t xml:space="preserve">신규 등록됐으나 매출 없음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일부 본점코드 미기재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우이락은 </t>
    </r>
    <r>
      <rPr>
        <sz val="10"/>
        <rFont val="Arial"/>
        <family val="0"/>
        <charset val="1"/>
      </rPr>
      <t xml:space="preserve">±19</t>
    </r>
    <r>
      <rPr>
        <sz val="10"/>
        <rFont val="WenQuanYi Zen Hei"/>
        <family val="2"/>
      </rPr>
      <t xml:space="preserve">만원 상쇄</t>
    </r>
    <r>
      <rPr>
        <sz val="10"/>
        <rFont val="Arial"/>
        <family val="0"/>
        <charset val="1"/>
      </rPr>
      <t xml:space="preserve">)</t>
    </r>
  </si>
  <si>
    <t xml:space="preserve">분석 제외</t>
  </si>
  <si>
    <t xml:space="preserve">코드 등록 및 개시 일정</t>
  </si>
  <si>
    <r>
      <rPr>
        <sz val="10"/>
        <rFont val="WenQuanYi Zen Hei"/>
        <family val="2"/>
      </rPr>
      <t xml:space="preserve">스마트푸드네트웍스</t>
    </r>
    <r>
      <rPr>
        <sz val="10"/>
        <rFont val="Arial"/>
        <family val="0"/>
        <charset val="1"/>
      </rPr>
      <t xml:space="preserve">_FC</t>
    </r>
  </si>
  <si>
    <r>
      <rPr>
        <sz val="10"/>
        <rFont val="WenQuanYi Zen Hei"/>
        <family val="2"/>
      </rPr>
      <t xml:space="preserve">월간 매장수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개인데 매출 </t>
    </r>
    <r>
      <rPr>
        <sz val="10"/>
        <rFont val="Arial"/>
        <family val="0"/>
        <charset val="1"/>
      </rPr>
      <t xml:space="preserve">0, </t>
    </r>
    <r>
      <rPr>
        <sz val="10"/>
        <rFont val="WenQuanYi Zen Hei"/>
        <family val="2"/>
      </rPr>
      <t xml:space="preserve">주간에는 소액 매출 발생</t>
    </r>
  </si>
  <si>
    <r>
      <rPr>
        <sz val="10"/>
        <rFont val="WenQuanYi Zen Hei"/>
        <family val="2"/>
      </rPr>
      <t xml:space="preserve">소액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영향 미미</t>
    </r>
  </si>
  <si>
    <t xml:space="preserve">집계 기준 확인</t>
  </si>
  <si>
    <r>
      <rPr>
        <b val="true"/>
        <sz val="14"/>
        <rFont val="Arial"/>
        <family val="0"/>
        <charset val="1"/>
      </rPr>
      <t xml:space="preserve">○ [FC</t>
    </r>
    <r>
      <rPr>
        <b val="true"/>
        <sz val="14"/>
        <rFont val="WenQuanYi Zen Hei"/>
        <family val="2"/>
      </rPr>
      <t xml:space="preserve">사업부</t>
    </r>
    <r>
      <rPr>
        <b val="true"/>
        <sz val="14"/>
        <rFont val="Arial"/>
        <family val="0"/>
        <charset val="1"/>
      </rPr>
      <t xml:space="preserve">] </t>
    </r>
    <r>
      <rPr>
        <b val="true"/>
        <sz val="14"/>
        <rFont val="WenQuanYi Zen Hei"/>
        <family val="2"/>
      </rPr>
      <t xml:space="preserve">걸개처별 매출 추이 요약</t>
    </r>
  </si>
  <si>
    <r>
      <rPr>
        <i val="true"/>
        <sz val="10"/>
        <color rgb="FF595959"/>
        <rFont val="WenQuanYi Zen Hei"/>
        <family val="2"/>
      </rPr>
      <t xml:space="preserve">기준</t>
    </r>
    <r>
      <rPr>
        <i val="true"/>
        <sz val="10"/>
        <color rgb="FF595959"/>
        <rFont val="Arial"/>
        <family val="0"/>
        <charset val="1"/>
      </rPr>
      <t xml:space="preserve">: </t>
    </r>
    <r>
      <rPr>
        <i val="true"/>
        <sz val="10"/>
        <color rgb="FF595959"/>
        <rFont val="WenQuanYi Zen Hei"/>
        <family val="2"/>
      </rPr>
      <t xml:space="preserve">최근주 </t>
    </r>
    <r>
      <rPr>
        <i val="true"/>
        <sz val="10"/>
        <color rgb="FF595959"/>
        <rFont val="Arial"/>
        <family val="0"/>
        <charset val="1"/>
      </rPr>
      <t xml:space="preserve">2026.10.12~10.18 / </t>
    </r>
    <r>
      <rPr>
        <i val="true"/>
        <sz val="10"/>
        <color rgb="FF595959"/>
        <rFont val="WenQuanYi Zen Hei"/>
        <family val="2"/>
      </rPr>
      <t xml:space="preserve">월간 </t>
    </r>
    <r>
      <rPr>
        <i val="true"/>
        <sz val="10"/>
        <color rgb="FF595959"/>
        <rFont val="Arial"/>
        <family val="0"/>
        <charset val="1"/>
      </rPr>
      <t xml:space="preserve">2026.1~9</t>
    </r>
    <r>
      <rPr>
        <i val="true"/>
        <sz val="10"/>
        <color rgb="FF595959"/>
        <rFont val="WenQuanYi Zen Hei"/>
        <family val="2"/>
      </rPr>
      <t xml:space="preserve">월 </t>
    </r>
    <r>
      <rPr>
        <i val="true"/>
        <sz val="10"/>
        <color rgb="FF595959"/>
        <rFont val="Arial"/>
        <family val="0"/>
        <charset val="1"/>
      </rPr>
      <t xml:space="preserve">· </t>
    </r>
    <r>
      <rPr>
        <i val="true"/>
        <sz val="10"/>
        <color rgb="FF595959"/>
        <rFont val="WenQuanYi Zen Hei"/>
        <family val="2"/>
      </rPr>
      <t xml:space="preserve">금액 단위 백만원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WenQuanYi Zen Hei"/>
        <family val="2"/>
      </rPr>
      <t xml:space="preserve">셀 값은 원 단위</t>
    </r>
    <r>
      <rPr>
        <i val="true"/>
        <sz val="10"/>
        <color rgb="FF595959"/>
        <rFont val="Arial"/>
        <family val="0"/>
        <charset val="1"/>
      </rPr>
      <t xml:space="preserve">) · </t>
    </r>
    <r>
      <rPr>
        <i val="true"/>
        <sz val="10"/>
        <color rgb="FF595959"/>
        <rFont val="WenQuanYi Zen Hei"/>
        <family val="2"/>
      </rPr>
      <t xml:space="preserve">추세 기준</t>
    </r>
    <r>
      <rPr>
        <i val="true"/>
        <sz val="10"/>
        <color rgb="FF595959"/>
        <rFont val="Arial"/>
        <family val="0"/>
        <charset val="1"/>
      </rPr>
      <t xml:space="preserve">: </t>
    </r>
    <r>
      <rPr>
        <i val="true"/>
        <sz val="10"/>
        <color rgb="FF595959"/>
        <rFont val="WenQuanYi Zen Hei"/>
        <family val="2"/>
      </rPr>
      <t xml:space="preserve">증감률 </t>
    </r>
    <r>
      <rPr>
        <i val="true"/>
        <sz val="10"/>
        <color rgb="FF595959"/>
        <rFont val="Arial"/>
        <family val="0"/>
        <charset val="1"/>
      </rPr>
      <t xml:space="preserve">±5% </t>
    </r>
    <r>
      <rPr>
        <i val="true"/>
        <sz val="10"/>
        <color rgb="FF595959"/>
        <rFont val="WenQuanYi Zen Hei"/>
        <family val="2"/>
      </rPr>
      <t xml:space="preserve">이상 상승</t>
    </r>
    <r>
      <rPr>
        <i val="true"/>
        <sz val="10"/>
        <color rgb="FF595959"/>
        <rFont val="Arial"/>
        <family val="0"/>
        <charset val="1"/>
      </rPr>
      <t xml:space="preserve">·</t>
    </r>
    <r>
      <rPr>
        <i val="true"/>
        <sz val="10"/>
        <color rgb="FF595959"/>
        <rFont val="WenQuanYi Zen Hei"/>
        <family val="2"/>
      </rPr>
      <t xml:space="preserve">하락</t>
    </r>
    <r>
      <rPr>
        <i val="true"/>
        <sz val="10"/>
        <color rgb="FF595959"/>
        <rFont val="Arial"/>
        <family val="0"/>
        <charset val="1"/>
      </rPr>
      <t xml:space="preserve">, </t>
    </r>
    <r>
      <rPr>
        <i val="true"/>
        <sz val="10"/>
        <color rgb="FF595959"/>
        <rFont val="WenQuanYi Zen Hei"/>
        <family val="2"/>
      </rPr>
      <t xml:space="preserve">그 사이 보합</t>
    </r>
  </si>
  <si>
    <t xml:space="preserve">최근주 전체 매출</t>
  </si>
  <si>
    <t xml:space="preserve">단기 상승 걸개처 수</t>
  </si>
  <si>
    <t xml:space="preserve">단기 하락 걸개처 수</t>
  </si>
  <si>
    <r>
      <rPr>
        <b val="true"/>
        <sz val="10"/>
        <color rgb="FF1F3864"/>
        <rFont val="WenQuanYi Zen Hei"/>
        <family val="2"/>
      </rPr>
      <t xml:space="preserve">월간 추이 </t>
    </r>
    <r>
      <rPr>
        <b val="true"/>
        <sz val="10"/>
        <color rgb="FF1F3864"/>
        <rFont val="Arial"/>
        <family val="0"/>
        <charset val="1"/>
      </rPr>
      <t xml:space="preserve">(Monthly)</t>
    </r>
  </si>
  <si>
    <r>
      <rPr>
        <b val="true"/>
        <sz val="10"/>
        <color rgb="FF1F3864"/>
        <rFont val="WenQuanYi Zen Hei"/>
        <family val="2"/>
      </rPr>
      <t xml:space="preserve">주간 추이 </t>
    </r>
    <r>
      <rPr>
        <b val="true"/>
        <sz val="10"/>
        <color rgb="FF1F3864"/>
        <rFont val="Arial"/>
        <family val="0"/>
        <charset val="1"/>
      </rPr>
      <t xml:space="preserve">(Weekly)</t>
    </r>
  </si>
  <si>
    <t xml:space="preserve">순위</t>
  </si>
  <si>
    <t xml:space="preserve">본점코드</t>
  </si>
  <si>
    <r>
      <rPr>
        <b val="true"/>
        <sz val="10"/>
        <color rgb="FFFFFFFF"/>
        <rFont val="WenQuanYi Zen Hei"/>
        <family val="2"/>
      </rPr>
      <t xml:space="preserve">매장수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최근주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</si>
  <si>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1Q </t>
    </r>
    <r>
      <rPr>
        <b val="true"/>
        <sz val="10"/>
        <color rgb="FFFFFFFF"/>
        <rFont val="WenQuanYi Zen Hei"/>
        <family val="2"/>
      </rPr>
      <t xml:space="preserve">월평균
</t>
    </r>
    <r>
      <rPr>
        <b val="true"/>
        <sz val="10"/>
        <color rgb="FFFFFFFF"/>
        <rFont val="Arial"/>
        <family val="0"/>
        <charset val="1"/>
      </rPr>
      <t xml:space="preserve">(1~3</t>
    </r>
    <r>
      <rPr>
        <b val="true"/>
        <sz val="10"/>
        <color rgb="FFFFFFFF"/>
        <rFont val="WenQuanYi Zen Hei"/>
        <family val="2"/>
      </rPr>
      <t xml:space="preserve">월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</si>
  <si>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3Q </t>
    </r>
    <r>
      <rPr>
        <b val="true"/>
        <sz val="10"/>
        <color rgb="FFFFFFFF"/>
        <rFont val="WenQuanYi Zen Hei"/>
        <family val="2"/>
      </rPr>
      <t xml:space="preserve">월평균
</t>
    </r>
    <r>
      <rPr>
        <b val="true"/>
        <sz val="10"/>
        <color rgb="FFFFFFFF"/>
        <rFont val="Arial"/>
        <family val="0"/>
        <charset val="1"/>
      </rPr>
      <t xml:space="preserve">(7~9</t>
    </r>
    <r>
      <rPr>
        <b val="true"/>
        <sz val="10"/>
        <color rgb="FFFFFFFF"/>
        <rFont val="WenQuanYi Zen Hei"/>
        <family val="2"/>
      </rPr>
      <t xml:space="preserve">월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</si>
  <si>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1Q→3Q
</t>
    </r>
    <r>
      <rPr>
        <b val="true"/>
        <sz val="10"/>
        <color rgb="FFFFFFFF"/>
        <rFont val="WenQuanYi Zen Hei"/>
        <family val="2"/>
      </rPr>
      <t xml:space="preserve">증감률</t>
    </r>
  </si>
  <si>
    <r>
      <rPr>
        <b val="true"/>
        <sz val="10"/>
        <color rgb="FFFFFFFF"/>
        <rFont val="Arial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월
전월 대비</t>
    </r>
  </si>
  <si>
    <t xml:space="preserve">최근주 매출</t>
  </si>
  <si>
    <r>
      <rPr>
        <b val="true"/>
        <sz val="10"/>
        <color rgb="FFFFFFFF"/>
        <rFont val="WenQuanYi Zen Hei"/>
        <family val="2"/>
      </rPr>
      <t xml:space="preserve">최근 </t>
    </r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주
매출</t>
    </r>
  </si>
  <si>
    <r>
      <rPr>
        <b val="true"/>
        <sz val="10"/>
        <color rgb="FFFFFFFF"/>
        <rFont val="WenQuanYi Zen Hei"/>
        <family val="2"/>
      </rPr>
      <t xml:space="preserve">직전 </t>
    </r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주
매출</t>
    </r>
  </si>
  <si>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주
증감률</t>
    </r>
  </si>
  <si>
    <t xml:space="preserve">전년 동주
매출</t>
  </si>
  <si>
    <t xml:space="preserve">전년 동주
대비</t>
  </si>
  <si>
    <r>
      <rPr>
        <b val="true"/>
        <sz val="10"/>
        <color rgb="FFFFFFFF"/>
        <rFont val="WenQuanYi Zen Hei"/>
        <family val="2"/>
      </rPr>
      <t xml:space="preserve">최근 </t>
    </r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주
매출 비중</t>
    </r>
  </si>
  <si>
    <r>
      <rPr>
        <b val="true"/>
        <sz val="10"/>
        <color rgb="FFFFFFFF"/>
        <rFont val="WenQuanYi Zen Hei"/>
        <family val="2"/>
      </rPr>
      <t xml:space="preserve">단기 추세
</t>
    </r>
    <r>
      <rPr>
        <b val="true"/>
        <sz val="10"/>
        <color rgb="FFFFFFFF"/>
        <rFont val="Arial"/>
        <family val="0"/>
        <charset val="1"/>
      </rPr>
      <t xml:space="preserve">(4</t>
    </r>
    <r>
      <rPr>
        <b val="true"/>
        <sz val="10"/>
        <color rgb="FFFFFFFF"/>
        <rFont val="WenQuanYi Zen Hei"/>
        <family val="2"/>
      </rPr>
      <t xml:space="preserve">주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</si>
  <si>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장기 추세
</t>
    </r>
    <r>
      <rPr>
        <b val="true"/>
        <sz val="10"/>
        <color rgb="FFFFFFFF"/>
        <rFont val="Arial"/>
        <family val="0"/>
        <charset val="1"/>
      </rPr>
      <t xml:space="preserve">(1Q→3Q)</t>
    </r>
  </si>
  <si>
    <t xml:space="preserve">비고</t>
  </si>
  <si>
    <t xml:space="preserve">전체</t>
  </si>
  <si>
    <r>
      <rPr>
        <b val="true"/>
        <sz val="10"/>
        <rFont val="WenQuanYi Zen Hei"/>
        <family val="2"/>
      </rPr>
      <t xml:space="preserve">합계 </t>
    </r>
    <r>
      <rPr>
        <b val="true"/>
        <sz val="10"/>
        <rFont val="Arial"/>
        <family val="0"/>
        <charset val="1"/>
      </rPr>
      <t xml:space="preserve">(120</t>
    </r>
    <r>
      <rPr>
        <b val="true"/>
        <sz val="10"/>
        <rFont val="WenQuanYi Zen Hei"/>
        <family val="2"/>
      </rPr>
      <t xml:space="preserve">개 걸개처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</si>
  <si>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color rgb="FF595959"/>
        <rFont val="WenQuanYi Zen Hei"/>
        <family val="2"/>
      </rPr>
      <t xml:space="preserve">후참잘</t>
    </r>
    <r>
      <rPr>
        <sz val="10"/>
        <color rgb="FF595959"/>
        <rFont val="Arial"/>
        <family val="0"/>
        <charset val="1"/>
      </rPr>
      <t xml:space="preserve">·</t>
    </r>
    <r>
      <rPr>
        <sz val="10"/>
        <color rgb="FF595959"/>
        <rFont val="WenQuanYi Zen Hei"/>
        <family val="2"/>
      </rPr>
      <t xml:space="preserve">샤브온당은 월간 코드 차이로 월간 합계에 일부만 포함</t>
    </r>
  </si>
  <si>
    <t xml:space="preserve">기존</t>
  </si>
  <si>
    <t xml:space="preserve">S82657</t>
  </si>
  <si>
    <t xml:space="preserve">신규</t>
  </si>
  <si>
    <t xml:space="preserve">S90525</t>
  </si>
  <si>
    <t xml:space="preserve">S81737</t>
  </si>
  <si>
    <r>
      <rPr>
        <sz val="10"/>
        <rFont val="WenQuanYi Zen Hei"/>
        <family val="2"/>
      </rPr>
      <t xml:space="preserve">족발야시장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대분류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무청감자탕 통합</t>
    </r>
    <r>
      <rPr>
        <sz val="10"/>
        <rFont val="Arial"/>
        <family val="0"/>
        <charset val="1"/>
      </rPr>
      <t xml:space="preserve">)</t>
    </r>
  </si>
  <si>
    <t xml:space="preserve">S233197</t>
  </si>
  <si>
    <t xml:space="preserve">S215014</t>
  </si>
  <si>
    <r>
      <rPr>
        <sz val="10"/>
        <rFont val="WenQuanYi Zen Hei"/>
        <family val="2"/>
      </rPr>
      <t xml:space="preserve">아이센스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)</t>
    </r>
  </si>
  <si>
    <t xml:space="preserve">B6135</t>
  </si>
  <si>
    <t xml:space="preserve">후참잘 대분류</t>
  </si>
  <si>
    <r>
      <rPr>
        <sz val="10"/>
        <color rgb="FF595959"/>
        <rFont val="WenQuanYi Zen Hei"/>
        <family val="2"/>
      </rPr>
      <t xml:space="preserve">월간 시트는 </t>
    </r>
    <r>
      <rPr>
        <sz val="10"/>
        <color rgb="FF595959"/>
        <rFont val="Arial"/>
        <family val="0"/>
        <charset val="1"/>
      </rPr>
      <t xml:space="preserve">3PL </t>
    </r>
    <r>
      <rPr>
        <sz val="10"/>
        <color rgb="FF595959"/>
        <rFont val="WenQuanYi Zen Hei"/>
        <family val="2"/>
      </rPr>
      <t xml:space="preserve">코드</t>
    </r>
    <r>
      <rPr>
        <sz val="10"/>
        <color rgb="FF595959"/>
        <rFont val="Arial"/>
        <family val="0"/>
        <charset val="1"/>
      </rPr>
      <t xml:space="preserve">(S258544, </t>
    </r>
    <r>
      <rPr>
        <sz val="10"/>
        <color rgb="FF595959"/>
        <rFont val="WenQuanYi Zen Hei"/>
        <family val="2"/>
      </rPr>
      <t xml:space="preserve">후참잘 대분류</t>
    </r>
    <r>
      <rPr>
        <sz val="10"/>
        <color rgb="FF595959"/>
        <rFont val="Arial"/>
        <family val="0"/>
        <charset val="1"/>
      </rPr>
      <t xml:space="preserve">(3pl))</t>
    </r>
    <r>
      <rPr>
        <sz val="10"/>
        <color rgb="FF595959"/>
        <rFont val="WenQuanYi Zen Hei"/>
        <family val="2"/>
      </rPr>
      <t xml:space="preserve">만 집계되어 주간 대비 월 매출이 과소 계상됨</t>
    </r>
  </si>
  <si>
    <t xml:space="preserve">S95143</t>
  </si>
  <si>
    <t xml:space="preserve">S97169</t>
  </si>
  <si>
    <t xml:space="preserve">달떡볶이 대코드</t>
  </si>
  <si>
    <t xml:space="preserve">S236674</t>
  </si>
  <si>
    <t xml:space="preserve">치킨플러스 대분류</t>
  </si>
  <si>
    <t xml:space="preserve">S234496</t>
  </si>
  <si>
    <t xml:space="preserve">킹콩 대코드</t>
  </si>
  <si>
    <t xml:space="preserve">S206764</t>
  </si>
  <si>
    <t xml:space="preserve">S101744</t>
  </si>
  <si>
    <r>
      <rPr>
        <sz val="10"/>
        <rFont val="WenQuanYi Zen Hei"/>
        <family val="2"/>
      </rPr>
      <t xml:space="preserve">화락바베큐 대 </t>
    </r>
    <r>
      <rPr>
        <sz val="10"/>
        <rFont val="Arial"/>
        <family val="0"/>
        <charset val="1"/>
      </rPr>
      <t xml:space="preserve">(HFBG </t>
    </r>
    <r>
      <rPr>
        <sz val="10"/>
        <rFont val="WenQuanYi Zen Hei"/>
        <family val="2"/>
      </rPr>
      <t xml:space="preserve">주식회사</t>
    </r>
    <r>
      <rPr>
        <sz val="10"/>
        <rFont val="Arial"/>
        <family val="0"/>
        <charset val="1"/>
      </rPr>
      <t xml:space="preserve">)</t>
    </r>
  </si>
  <si>
    <t xml:space="preserve">S94835</t>
  </si>
  <si>
    <t xml:space="preserve">S226276</t>
  </si>
  <si>
    <r>
      <rPr>
        <sz val="10"/>
        <rFont val="WenQuanYi Zen Hei"/>
        <family val="2"/>
      </rPr>
      <t xml:space="preserve">구도로통닭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)</t>
    </r>
  </si>
  <si>
    <t xml:space="preserve">S90344</t>
  </si>
  <si>
    <r>
      <rPr>
        <sz val="10"/>
        <rFont val="WenQuanYi Zen Hei"/>
        <family val="2"/>
      </rPr>
      <t xml:space="preserve">화화돼지왕갈비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)</t>
    </r>
  </si>
  <si>
    <t xml:space="preserve">S94092</t>
  </si>
  <si>
    <t xml:space="preserve">마루에프씨 대코드</t>
  </si>
  <si>
    <t xml:space="preserve">S227002 / S254367</t>
  </si>
  <si>
    <t xml:space="preserve">돈카춘 대코드</t>
  </si>
  <si>
    <r>
      <rPr>
        <sz val="10"/>
        <color rgb="FF595959"/>
        <rFont val="WenQuanYi Zen Hei"/>
        <family val="2"/>
      </rPr>
      <t xml:space="preserve">본점코드 변경으로 원본에 </t>
    </r>
    <r>
      <rPr>
        <sz val="10"/>
        <color rgb="FF595959"/>
        <rFont val="Arial"/>
        <family val="0"/>
        <charset val="1"/>
      </rPr>
      <t xml:space="preserve">2</t>
    </r>
    <r>
      <rPr>
        <sz val="10"/>
        <color rgb="FF595959"/>
        <rFont val="WenQuanYi Zen Hei"/>
        <family val="2"/>
      </rPr>
      <t xml:space="preserve">행으로 나뉘어 있어 합산</t>
    </r>
  </si>
  <si>
    <t xml:space="preserve">S220382</t>
  </si>
  <si>
    <t xml:space="preserve">주식회사 인생푸드</t>
  </si>
  <si>
    <t xml:space="preserve">S72152</t>
  </si>
  <si>
    <r>
      <rPr>
        <sz val="10"/>
        <rFont val="WenQuanYi Zen Hei"/>
        <family val="2"/>
      </rPr>
      <t xml:space="preserve">쥬씨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쥬씨 주식회사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대분류</t>
    </r>
  </si>
  <si>
    <t xml:space="preserve">S87905</t>
  </si>
  <si>
    <r>
      <rPr>
        <sz val="10"/>
        <rFont val="WenQuanYi Zen Hei"/>
        <family val="2"/>
      </rPr>
      <t xml:space="preserve">미아리우동집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)</t>
    </r>
  </si>
  <si>
    <t xml:space="preserve">S96803</t>
  </si>
  <si>
    <r>
      <rPr>
        <sz val="10"/>
        <rFont val="WenQuanYi Zen Hei"/>
        <family val="2"/>
      </rPr>
      <t xml:space="preserve">손큰할매순대국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)(</t>
    </r>
    <r>
      <rPr>
        <sz val="10"/>
        <rFont val="WenQuanYi Zen Hei"/>
        <family val="2"/>
      </rPr>
      <t xml:space="preserve">법인</t>
    </r>
    <r>
      <rPr>
        <sz val="10"/>
        <rFont val="Arial"/>
        <family val="0"/>
        <charset val="1"/>
      </rPr>
      <t xml:space="preserve">)</t>
    </r>
  </si>
  <si>
    <t xml:space="preserve">S223642</t>
  </si>
  <si>
    <t xml:space="preserve">S265753</t>
  </si>
  <si>
    <t xml:space="preserve">S251614</t>
  </si>
  <si>
    <t xml:space="preserve">고기궁전 대분류</t>
  </si>
  <si>
    <t xml:space="preserve">S77411</t>
  </si>
  <si>
    <t xml:space="preserve">S86140</t>
  </si>
  <si>
    <r>
      <rPr>
        <sz val="10"/>
        <rFont val="WenQuanYi Zen Hei"/>
        <family val="2"/>
      </rPr>
      <t xml:space="preserve">오백국수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)</t>
    </r>
  </si>
  <si>
    <t xml:space="preserve">S227995</t>
  </si>
  <si>
    <r>
      <rPr>
        <sz val="10"/>
        <rFont val="WenQuanYi Zen Hei"/>
        <family val="2"/>
      </rPr>
      <t xml:space="preserve">쓰리비플러스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) K</t>
    </r>
    <r>
      <rPr>
        <sz val="10"/>
        <rFont val="WenQuanYi Zen Hei"/>
        <family val="2"/>
      </rPr>
      <t xml:space="preserve">비빔밥</t>
    </r>
  </si>
  <si>
    <t xml:space="preserve">S251592</t>
  </si>
  <si>
    <t xml:space="preserve">감쪽 대분류</t>
  </si>
  <si>
    <t xml:space="preserve">S213979</t>
  </si>
  <si>
    <t xml:space="preserve">S224496</t>
  </si>
  <si>
    <r>
      <rPr>
        <sz val="10"/>
        <rFont val="WenQuanYi Zen Hei"/>
        <family val="2"/>
      </rPr>
      <t xml:space="preserve">통불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)</t>
    </r>
  </si>
  <si>
    <t xml:space="preserve">S92874</t>
  </si>
  <si>
    <r>
      <rPr>
        <sz val="10"/>
        <rFont val="WenQuanYi Zen Hei"/>
        <family val="2"/>
      </rPr>
      <t xml:space="preserve">와플샵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)</t>
    </r>
  </si>
  <si>
    <t xml:space="preserve">S97707</t>
  </si>
  <si>
    <r>
      <rPr>
        <sz val="10"/>
        <rFont val="WenQuanYi Zen Hei"/>
        <family val="2"/>
      </rPr>
      <t xml:space="preserve">순수덮밥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)</t>
    </r>
  </si>
  <si>
    <t xml:space="preserve">S94912</t>
  </si>
  <si>
    <t xml:space="preserve">한라맥주 대</t>
  </si>
  <si>
    <t xml:space="preserve">S249566</t>
  </si>
  <si>
    <t xml:space="preserve">더라프 대코드</t>
  </si>
  <si>
    <t xml:space="preserve">S225287</t>
  </si>
  <si>
    <r>
      <rPr>
        <sz val="10"/>
        <rFont val="WenQuanYi Zen Hei"/>
        <family val="2"/>
      </rPr>
      <t xml:space="preserve">디케이푸드 대코드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돈카</t>
    </r>
    <r>
      <rPr>
        <sz val="10"/>
        <rFont val="Arial"/>
        <family val="0"/>
        <charset val="1"/>
      </rPr>
      <t xml:space="preserve">,</t>
    </r>
    <r>
      <rPr>
        <sz val="10"/>
        <rFont val="WenQuanYi Zen Hei"/>
        <family val="2"/>
      </rPr>
      <t xml:space="preserve">조선호랑이</t>
    </r>
    <r>
      <rPr>
        <sz val="10"/>
        <rFont val="Arial"/>
        <family val="0"/>
        <charset val="1"/>
      </rPr>
      <t xml:space="preserve">)</t>
    </r>
  </si>
  <si>
    <t xml:space="preserve">S256800</t>
  </si>
  <si>
    <t xml:space="preserve">콩시루 대분류</t>
  </si>
  <si>
    <t xml:space="preserve">S98829</t>
  </si>
  <si>
    <t xml:space="preserve">서래식구들 대</t>
  </si>
  <si>
    <t xml:space="preserve">S192107</t>
  </si>
  <si>
    <t xml:space="preserve">S209146</t>
  </si>
  <si>
    <t xml:space="preserve">지미존스 대</t>
  </si>
  <si>
    <r>
      <rPr>
        <sz val="10"/>
        <color rgb="FF595959"/>
        <rFont val="WenQuanYi Zen Hei"/>
        <family val="2"/>
      </rPr>
      <t xml:space="preserve">매월 말 주차에 대규모 음수 매출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정산 차감 추정</t>
    </r>
    <r>
      <rPr>
        <sz val="10"/>
        <color rgb="FF595959"/>
        <rFont val="Arial"/>
        <family val="0"/>
        <charset val="1"/>
      </rPr>
      <t xml:space="preserve">) → </t>
    </r>
    <r>
      <rPr>
        <sz val="10"/>
        <color rgb="FF595959"/>
        <rFont val="WenQuanYi Zen Hei"/>
        <family val="2"/>
      </rPr>
      <t xml:space="preserve">주간 증감률 왜곡</t>
    </r>
  </si>
  <si>
    <t xml:space="preserve">B6365</t>
  </si>
  <si>
    <r>
      <rPr>
        <sz val="10"/>
        <rFont val="WenQuanYi Zen Hei"/>
        <family val="2"/>
      </rPr>
      <t xml:space="preserve">샤브온당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대분류</t>
    </r>
  </si>
  <si>
    <r>
      <rPr>
        <sz val="10"/>
        <color rgb="FF595959"/>
        <rFont val="WenQuanYi Zen Hei"/>
        <family val="2"/>
      </rPr>
      <t xml:space="preserve">월간 시트는 다른 코드</t>
    </r>
    <r>
      <rPr>
        <sz val="10"/>
        <color rgb="FF595959"/>
        <rFont val="Arial"/>
        <family val="0"/>
        <charset val="1"/>
      </rPr>
      <t xml:space="preserve">(S261783) </t>
    </r>
    <r>
      <rPr>
        <sz val="10"/>
        <color rgb="FF595959"/>
        <rFont val="WenQuanYi Zen Hei"/>
        <family val="2"/>
      </rPr>
      <t xml:space="preserve">기준으로 집계되어 주간 대비 월 매출이 과소 계상됨</t>
    </r>
  </si>
  <si>
    <t xml:space="preserve">S199245</t>
  </si>
  <si>
    <t xml:space="preserve">미인계 대코드</t>
  </si>
  <si>
    <t xml:space="preserve">S231958</t>
  </si>
  <si>
    <r>
      <rPr>
        <sz val="10"/>
        <rFont val="WenQuanYi Zen Hei"/>
        <family val="2"/>
      </rPr>
      <t xml:space="preserve">오밀당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아이오스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)</t>
    </r>
  </si>
  <si>
    <t xml:space="preserve">S248258</t>
  </si>
  <si>
    <t xml:space="preserve">알쭈 대분류</t>
  </si>
  <si>
    <t xml:space="preserve">S88977</t>
  </si>
  <si>
    <r>
      <rPr>
        <sz val="10"/>
        <rFont val="WenQuanYi Zen Hei"/>
        <family val="2"/>
      </rPr>
      <t xml:space="preserve">빨간석쇠구이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)</t>
    </r>
  </si>
  <si>
    <t xml:space="preserve">S239673</t>
  </si>
  <si>
    <t xml:space="preserve">수라닭개장 대코드</t>
  </si>
  <si>
    <t xml:space="preserve">S62334</t>
  </si>
  <si>
    <t xml:space="preserve">파파밸리 대</t>
  </si>
  <si>
    <t xml:space="preserve">S213857</t>
  </si>
  <si>
    <r>
      <rPr>
        <sz val="10"/>
        <rFont val="WenQuanYi Zen Hei"/>
        <family val="2"/>
      </rPr>
      <t xml:space="preserve">경성술집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대분류</t>
    </r>
  </si>
  <si>
    <t xml:space="preserve">S182647</t>
  </si>
  <si>
    <t xml:space="preserve">맛똥삼 대코드</t>
  </si>
  <si>
    <t xml:space="preserve">S210538</t>
  </si>
  <si>
    <r>
      <rPr>
        <sz val="10"/>
        <rFont val="WenQuanYi Zen Hei"/>
        <family val="2"/>
      </rPr>
      <t xml:space="preserve">선진</t>
    </r>
    <r>
      <rPr>
        <sz val="10"/>
        <rFont val="Arial"/>
        <family val="0"/>
        <charset val="1"/>
      </rPr>
      <t xml:space="preserve">VFC(</t>
    </r>
    <r>
      <rPr>
        <sz val="10"/>
        <rFont val="WenQuanYi Zen Hei"/>
        <family val="2"/>
      </rPr>
      <t xml:space="preserve">치킨파티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조타코</t>
    </r>
    <r>
      <rPr>
        <sz val="10"/>
        <rFont val="Arial"/>
        <family val="0"/>
        <charset val="1"/>
      </rPr>
      <t xml:space="preserve">)_</t>
    </r>
    <r>
      <rPr>
        <sz val="10"/>
        <rFont val="WenQuanYi Zen Hei"/>
        <family val="2"/>
      </rPr>
      <t xml:space="preserve">대코드</t>
    </r>
  </si>
  <si>
    <t xml:space="preserve">S70051</t>
  </si>
  <si>
    <r>
      <rPr>
        <sz val="10"/>
        <rFont val="WenQuanYi Zen Hei"/>
        <family val="2"/>
      </rPr>
      <t xml:space="preserve">트랜차이즈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신</t>
    </r>
    <r>
      <rPr>
        <sz val="10"/>
        <rFont val="Arial"/>
        <family val="0"/>
        <charset val="1"/>
      </rPr>
      <t xml:space="preserve">)_</t>
    </r>
    <r>
      <rPr>
        <sz val="10"/>
        <rFont val="WenQuanYi Zen Hei"/>
        <family val="2"/>
      </rPr>
      <t xml:space="preserve">대분류</t>
    </r>
  </si>
  <si>
    <t xml:space="preserve">S247530</t>
  </si>
  <si>
    <t xml:space="preserve">포플로어 대분류</t>
  </si>
  <si>
    <t xml:space="preserve">S226218</t>
  </si>
  <si>
    <t xml:space="preserve">김금자숯불갈비 대분류</t>
  </si>
  <si>
    <t xml:space="preserve">S80394</t>
  </si>
  <si>
    <t xml:space="preserve">대한맥주집 대</t>
  </si>
  <si>
    <t xml:space="preserve">S11409</t>
  </si>
  <si>
    <r>
      <rPr>
        <sz val="10"/>
        <rFont val="WenQuanYi Zen Hei"/>
        <family val="2"/>
      </rPr>
      <t xml:space="preserve">아리스타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)</t>
    </r>
  </si>
  <si>
    <t xml:space="preserve">S97687</t>
  </si>
  <si>
    <t xml:space="preserve">더맨타코 본사</t>
  </si>
  <si>
    <t xml:space="preserve">S99532</t>
  </si>
  <si>
    <r>
      <rPr>
        <sz val="10"/>
        <rFont val="WenQuanYi Zen Hei"/>
        <family val="2"/>
      </rPr>
      <t xml:space="preserve">족도리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대분류</t>
    </r>
  </si>
  <si>
    <t xml:space="preserve">S243775</t>
  </si>
  <si>
    <t xml:space="preserve">비어프랜드 대</t>
  </si>
  <si>
    <t xml:space="preserve">S88418</t>
  </si>
  <si>
    <r>
      <rPr>
        <sz val="10"/>
        <rFont val="Arial"/>
        <family val="0"/>
        <charset val="1"/>
      </rPr>
      <t xml:space="preserve">FR_</t>
    </r>
    <r>
      <rPr>
        <sz val="10"/>
        <rFont val="WenQuanYi Zen Hei"/>
        <family val="2"/>
      </rPr>
      <t xml:space="preserve">온달집 대분류</t>
    </r>
  </si>
  <si>
    <t xml:space="preserve">S11408</t>
  </si>
  <si>
    <r>
      <rPr>
        <sz val="10"/>
        <rFont val="WenQuanYi Zen Hei"/>
        <family val="2"/>
      </rPr>
      <t xml:space="preserve">트랜차이즈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)</t>
    </r>
  </si>
  <si>
    <t xml:space="preserve">S98322</t>
  </si>
  <si>
    <r>
      <rPr>
        <sz val="10"/>
        <rFont val="WenQuanYi Zen Hei"/>
        <family val="2"/>
      </rPr>
      <t xml:space="preserve">롱타임노씨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)</t>
    </r>
  </si>
  <si>
    <t xml:space="preserve">S187256</t>
  </si>
  <si>
    <r>
      <rPr>
        <sz val="10"/>
        <rFont val="Arial"/>
        <family val="0"/>
        <charset val="1"/>
      </rPr>
      <t xml:space="preserve">FR_</t>
    </r>
    <r>
      <rPr>
        <sz val="10"/>
        <rFont val="WenQuanYi Zen Hei"/>
        <family val="2"/>
      </rPr>
      <t xml:space="preserve">남파랑국밥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상암본점</t>
    </r>
    <r>
      <rPr>
        <sz val="10"/>
        <rFont val="Arial"/>
        <family val="0"/>
        <charset val="1"/>
      </rPr>
      <t xml:space="preserve">(24)</t>
    </r>
  </si>
  <si>
    <t xml:space="preserve">S257732</t>
  </si>
  <si>
    <r>
      <rPr>
        <sz val="10"/>
        <rFont val="WenQuanYi Zen Hei"/>
        <family val="2"/>
      </rPr>
      <t xml:space="preserve">석관동떡볶이</t>
    </r>
    <r>
      <rPr>
        <sz val="10"/>
        <rFont val="Arial"/>
        <family val="0"/>
        <charset val="1"/>
      </rPr>
      <t xml:space="preserve">(N)</t>
    </r>
  </si>
  <si>
    <t xml:space="preserve">S240084</t>
  </si>
  <si>
    <t xml:space="preserve">찌개찝 대</t>
  </si>
  <si>
    <t xml:space="preserve">S90030</t>
  </si>
  <si>
    <r>
      <rPr>
        <sz val="10"/>
        <rFont val="Arial"/>
        <family val="0"/>
        <charset val="1"/>
      </rPr>
      <t xml:space="preserve">FR_</t>
    </r>
    <r>
      <rPr>
        <sz val="10"/>
        <rFont val="WenQuanYi Zen Hei"/>
        <family val="2"/>
      </rPr>
      <t xml:space="preserve">마피아피자 대분류</t>
    </r>
  </si>
  <si>
    <t xml:space="preserve">S82111</t>
  </si>
  <si>
    <r>
      <rPr>
        <sz val="10"/>
        <rFont val="Arial"/>
        <family val="0"/>
        <charset val="1"/>
      </rPr>
      <t xml:space="preserve">FR_</t>
    </r>
    <r>
      <rPr>
        <sz val="10"/>
        <rFont val="WenQuanYi Zen Hei"/>
        <family val="2"/>
      </rPr>
      <t xml:space="preserve">푸드감동을주다</t>
    </r>
    <r>
      <rPr>
        <sz val="10"/>
        <rFont val="Arial"/>
        <family val="0"/>
        <charset val="1"/>
      </rPr>
      <t xml:space="preserve">_(</t>
    </r>
    <r>
      <rPr>
        <sz val="10"/>
        <rFont val="WenQuanYi Zen Hei"/>
        <family val="2"/>
      </rPr>
      <t xml:space="preserve">쉐프밀본사</t>
    </r>
    <r>
      <rPr>
        <sz val="10"/>
        <rFont val="Arial"/>
        <family val="0"/>
        <charset val="1"/>
      </rPr>
      <t xml:space="preserve">)</t>
    </r>
  </si>
  <si>
    <t xml:space="preserve">S249140</t>
  </si>
  <si>
    <t xml:space="preserve">투고샐러드 대</t>
  </si>
  <si>
    <t xml:space="preserve">S97164</t>
  </si>
  <si>
    <t xml:space="preserve">테트리스찜닭 대</t>
  </si>
  <si>
    <t xml:space="preserve">S89271</t>
  </si>
  <si>
    <r>
      <rPr>
        <sz val="10"/>
        <rFont val="WenQuanYi Zen Hei"/>
        <family val="2"/>
      </rPr>
      <t xml:space="preserve">웍스</t>
    </r>
    <r>
      <rPr>
        <sz val="10"/>
        <rFont val="Arial"/>
        <family val="0"/>
        <charset val="1"/>
      </rPr>
      <t xml:space="preserve">50 (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)</t>
    </r>
  </si>
  <si>
    <t xml:space="preserve">S92279</t>
  </si>
  <si>
    <r>
      <rPr>
        <sz val="10"/>
        <rFont val="Arial"/>
        <family val="0"/>
        <charset val="1"/>
      </rPr>
      <t xml:space="preserve">FR_(</t>
    </r>
    <r>
      <rPr>
        <sz val="10"/>
        <rFont val="WenQuanYi Zen Hei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뉴욕푸드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타임즈핫도그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대분류</t>
    </r>
  </si>
  <si>
    <t xml:space="preserve">S233472</t>
  </si>
  <si>
    <r>
      <rPr>
        <sz val="10"/>
        <rFont val="WenQuanYi Zen Hei"/>
        <family val="2"/>
      </rPr>
      <t xml:space="preserve">조흥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유통</t>
    </r>
    <r>
      <rPr>
        <sz val="10"/>
        <rFont val="Arial"/>
        <family val="0"/>
        <charset val="1"/>
      </rPr>
      <t xml:space="preserve">)</t>
    </r>
  </si>
  <si>
    <t xml:space="preserve">S230738</t>
  </si>
  <si>
    <t xml:space="preserve">보스턴샐러드하우스 대분류</t>
  </si>
  <si>
    <t xml:space="preserve">S242492</t>
  </si>
  <si>
    <r>
      <rPr>
        <sz val="10"/>
        <rFont val="WenQuanYi Zen Hei"/>
        <family val="2"/>
      </rPr>
      <t xml:space="preserve">카페차이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)</t>
    </r>
  </si>
  <si>
    <t xml:space="preserve">S95956</t>
  </si>
  <si>
    <t xml:space="preserve">보드람죽 대</t>
  </si>
  <si>
    <t xml:space="preserve">S266355</t>
  </si>
  <si>
    <t xml:space="preserve">야화 대코드</t>
  </si>
  <si>
    <t xml:space="preserve">S246240</t>
  </si>
  <si>
    <t xml:space="preserve">와이엔컴퍼니 대분류</t>
  </si>
  <si>
    <t xml:space="preserve">S97911</t>
  </si>
  <si>
    <t xml:space="preserve">토스피아 대</t>
  </si>
  <si>
    <t xml:space="preserve">S237591</t>
  </si>
  <si>
    <r>
      <rPr>
        <sz val="10"/>
        <rFont val="WenQuanYi Zen Hei"/>
        <family val="2"/>
      </rPr>
      <t xml:space="preserve">마초부리또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)</t>
    </r>
  </si>
  <si>
    <t xml:space="preserve">S98106</t>
  </si>
  <si>
    <r>
      <rPr>
        <sz val="10"/>
        <rFont val="WenQuanYi Zen Hei"/>
        <family val="2"/>
      </rPr>
      <t xml:space="preserve">냉면입니다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)</t>
    </r>
  </si>
  <si>
    <t xml:space="preserve">S239678</t>
  </si>
  <si>
    <t xml:space="preserve">육선회관 대코드</t>
  </si>
  <si>
    <t xml:space="preserve">S244336</t>
  </si>
  <si>
    <r>
      <rPr>
        <sz val="10"/>
        <rFont val="WenQuanYi Zen Hei"/>
        <family val="2"/>
      </rPr>
      <t xml:space="preserve">순치킨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)</t>
    </r>
  </si>
  <si>
    <t xml:space="preserve">S193761 / S252670</t>
  </si>
  <si>
    <t xml:space="preserve">무마진덮밥 대코드</t>
  </si>
  <si>
    <t xml:space="preserve">S89328</t>
  </si>
  <si>
    <r>
      <rPr>
        <sz val="10"/>
        <rFont val="WenQuanYi Zen Hei"/>
        <family val="2"/>
      </rPr>
      <t xml:space="preserve">현주식당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)</t>
    </r>
  </si>
  <si>
    <t xml:space="preserve">S234479</t>
  </si>
  <si>
    <t xml:space="preserve">백연게장 대코드</t>
  </si>
  <si>
    <t xml:space="preserve">S100186</t>
  </si>
  <si>
    <r>
      <rPr>
        <sz val="10"/>
        <rFont val="WenQuanYi Zen Hei"/>
        <family val="2"/>
      </rPr>
      <t xml:space="preserve">찰스의식탁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)_</t>
    </r>
    <r>
      <rPr>
        <sz val="10"/>
        <rFont val="WenQuanYi Zen Hei"/>
        <family val="2"/>
      </rPr>
      <t xml:space="preserve">신</t>
    </r>
  </si>
  <si>
    <t xml:space="preserve">S11380</t>
  </si>
  <si>
    <t xml:space="preserve">우용에프앤비 대</t>
  </si>
  <si>
    <t xml:space="preserve">S81521</t>
  </si>
  <si>
    <r>
      <rPr>
        <sz val="10"/>
        <rFont val="WenQuanYi Zen Hei"/>
        <family val="2"/>
      </rPr>
      <t xml:space="preserve">심슨더스파이스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)</t>
    </r>
  </si>
  <si>
    <t xml:space="preserve">S249164</t>
  </si>
  <si>
    <r>
      <rPr>
        <sz val="10"/>
        <rFont val="WenQuanYi Zen Hei"/>
        <family val="2"/>
      </rPr>
      <t xml:space="preserve">춘타운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)</t>
    </r>
  </si>
  <si>
    <t xml:space="preserve">S89677</t>
  </si>
  <si>
    <r>
      <rPr>
        <sz val="10"/>
        <rFont val="WenQuanYi Zen Hei"/>
        <family val="2"/>
      </rPr>
      <t xml:space="preserve">고홈푸드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)</t>
    </r>
  </si>
  <si>
    <t xml:space="preserve">S82944</t>
  </si>
  <si>
    <t xml:space="preserve">국사랑 대</t>
  </si>
  <si>
    <t xml:space="preserve">S93190</t>
  </si>
  <si>
    <r>
      <rPr>
        <sz val="10"/>
        <rFont val="Arial"/>
        <family val="0"/>
        <charset val="1"/>
      </rPr>
      <t xml:space="preserve">1986</t>
    </r>
    <r>
      <rPr>
        <sz val="10"/>
        <rFont val="WenQuanYi Zen Hei"/>
        <family val="2"/>
      </rPr>
      <t xml:space="preserve">숯불구이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)</t>
    </r>
  </si>
  <si>
    <t xml:space="preserve">S91698</t>
  </si>
  <si>
    <r>
      <rPr>
        <sz val="10"/>
        <rFont val="Arial"/>
        <family val="0"/>
        <charset val="1"/>
      </rPr>
      <t xml:space="preserve">FR_</t>
    </r>
    <r>
      <rPr>
        <sz val="10"/>
        <rFont val="WenQuanYi Zen Hei"/>
        <family val="2"/>
      </rPr>
      <t xml:space="preserve">위밋에프앤비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본사</t>
    </r>
    <r>
      <rPr>
        <sz val="10"/>
        <rFont val="Arial"/>
        <family val="0"/>
        <charset val="1"/>
      </rPr>
      <t xml:space="preserve">)</t>
    </r>
  </si>
  <si>
    <t xml:space="preserve">S84927</t>
  </si>
  <si>
    <t xml:space="preserve">S245774</t>
  </si>
  <si>
    <t xml:space="preserve">찐심맥주 대</t>
  </si>
  <si>
    <t xml:space="preserve">S247533</t>
  </si>
  <si>
    <r>
      <rPr>
        <sz val="10"/>
        <rFont val="Arial"/>
        <family val="0"/>
        <charset val="1"/>
      </rPr>
      <t xml:space="preserve">S-</t>
    </r>
    <r>
      <rPr>
        <sz val="10"/>
        <rFont val="WenQuanYi Zen Hei"/>
        <family val="2"/>
      </rPr>
      <t xml:space="preserve">파스타픽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)</t>
    </r>
  </si>
  <si>
    <t xml:space="preserve">S252371</t>
  </si>
  <si>
    <r>
      <rPr>
        <sz val="10"/>
        <rFont val="WenQuanYi Zen Hei"/>
        <family val="2"/>
      </rPr>
      <t xml:space="preserve">에쓰와이푸드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만선집</t>
    </r>
    <r>
      <rPr>
        <sz val="10"/>
        <rFont val="Arial"/>
        <family val="0"/>
        <charset val="1"/>
      </rPr>
      <t xml:space="preserve">)(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)</t>
    </r>
  </si>
  <si>
    <t xml:space="preserve">S269478</t>
  </si>
  <si>
    <t xml:space="preserve">우이락</t>
  </si>
  <si>
    <t xml:space="preserve">S211111</t>
  </si>
  <si>
    <t xml:space="preserve">샤브르정원 대분류</t>
  </si>
  <si>
    <t xml:space="preserve">S220724</t>
  </si>
  <si>
    <r>
      <rPr>
        <sz val="10"/>
        <rFont val="WenQuanYi Zen Hei"/>
        <family val="2"/>
      </rPr>
      <t xml:space="preserve">금상족발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대분류</t>
    </r>
  </si>
  <si>
    <t xml:space="preserve">S223635</t>
  </si>
  <si>
    <r>
      <rPr>
        <sz val="10"/>
        <rFont val="WenQuanYi Zen Hei"/>
        <family val="2"/>
      </rPr>
      <t xml:space="preserve">한둘카츠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)</t>
    </r>
  </si>
  <si>
    <t xml:space="preserve">S248539</t>
  </si>
  <si>
    <r>
      <rPr>
        <sz val="10"/>
        <rFont val="WenQuanYi Zen Hei"/>
        <family val="2"/>
      </rPr>
      <t xml:space="preserve">한둘카츠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)_</t>
    </r>
    <r>
      <rPr>
        <sz val="10"/>
        <rFont val="WenQuanYi Zen Hei"/>
        <family val="2"/>
      </rPr>
      <t xml:space="preserve">위드인푸드</t>
    </r>
  </si>
  <si>
    <r>
      <rPr>
        <sz val="10"/>
        <color rgb="FF595959"/>
        <rFont val="Arial"/>
        <family val="0"/>
        <charset val="1"/>
      </rPr>
      <t xml:space="preserve">3</t>
    </r>
    <r>
      <rPr>
        <sz val="10"/>
        <color rgb="FF595959"/>
        <rFont val="WenQuanYi Zen Hei"/>
        <family val="2"/>
      </rPr>
      <t xml:space="preserve">월부터 한둘카츠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대</t>
    </r>
    <r>
      <rPr>
        <sz val="10"/>
        <color rgb="FF595959"/>
        <rFont val="Arial"/>
        <family val="0"/>
        <charset val="1"/>
      </rPr>
      <t xml:space="preserve">, S223635) </t>
    </r>
    <r>
      <rPr>
        <sz val="10"/>
        <color rgb="FF595959"/>
        <rFont val="WenQuanYi Zen Hei"/>
        <family val="2"/>
      </rPr>
      <t xml:space="preserve">매출이 이 코드로 이관된 것으로 보임</t>
    </r>
  </si>
  <si>
    <t xml:space="preserve">S224315</t>
  </si>
  <si>
    <t xml:space="preserve">카쿠레가 대분류</t>
  </si>
  <si>
    <r>
      <rPr>
        <sz val="10"/>
        <color rgb="FF595959"/>
        <rFont val="Arial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월 말 이후 매출 없음</t>
    </r>
  </si>
  <si>
    <t xml:space="preserve">S226084</t>
  </si>
  <si>
    <r>
      <rPr>
        <sz val="10"/>
        <rFont val="WenQuanYi Zen Hei"/>
        <family val="2"/>
      </rPr>
      <t xml:space="preserve">타타스베이글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)</t>
    </r>
  </si>
  <si>
    <t xml:space="preserve">S227699</t>
  </si>
  <si>
    <t xml:space="preserve">닭강정공방 대분류</t>
  </si>
  <si>
    <t xml:space="preserve">S232450</t>
  </si>
  <si>
    <r>
      <rPr>
        <sz val="10"/>
        <rFont val="WenQuanYi Zen Hei"/>
        <family val="2"/>
      </rPr>
      <t xml:space="preserve">갓성비직화삼겹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대코드</t>
    </r>
  </si>
  <si>
    <t xml:space="preserve">S236671</t>
  </si>
  <si>
    <t xml:space="preserve">제이제이파트너스 대분류</t>
  </si>
  <si>
    <t xml:space="preserve">S86833</t>
  </si>
  <si>
    <r>
      <rPr>
        <sz val="10"/>
        <rFont val="WenQuanYi Zen Hei"/>
        <family val="2"/>
      </rPr>
      <t xml:space="preserve">멜팅그릴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주식회사 제이제이에프앤비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대분류</t>
    </r>
  </si>
  <si>
    <t xml:space="preserve">S182673</t>
  </si>
  <si>
    <t xml:space="preserve">프레시부리또 대</t>
  </si>
  <si>
    <t xml:space="preserve">S202715</t>
  </si>
  <si>
    <t xml:space="preserve">팔월의중식 대코드</t>
  </si>
  <si>
    <t xml:space="preserve">S61893</t>
  </si>
  <si>
    <t xml:space="preserve">트리플 대코드</t>
  </si>
  <si>
    <r>
      <rPr>
        <sz val="10"/>
        <color rgb="FF595959"/>
        <rFont val="Arial"/>
        <family val="0"/>
        <charset val="1"/>
      </rPr>
      <t xml:space="preserve">9/21</t>
    </r>
    <r>
      <rPr>
        <sz val="10"/>
        <color rgb="FF595959"/>
        <rFont val="WenQuanYi Zen Hei"/>
        <family val="2"/>
      </rPr>
      <t xml:space="preserve">주부터 매출 </t>
    </r>
    <r>
      <rPr>
        <sz val="10"/>
        <color rgb="FF595959"/>
        <rFont val="Arial"/>
        <family val="0"/>
        <charset val="1"/>
      </rPr>
      <t xml:space="preserve">0</t>
    </r>
  </si>
  <si>
    <t xml:space="preserve">S70151</t>
  </si>
  <si>
    <r>
      <rPr>
        <sz val="10"/>
        <rFont val="WenQuanYi Zen Hei"/>
        <family val="2"/>
      </rPr>
      <t xml:space="preserve">노가리슈퍼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)</t>
    </r>
  </si>
  <si>
    <t xml:space="preserve">S86942</t>
  </si>
  <si>
    <r>
      <rPr>
        <sz val="10"/>
        <rFont val="WenQuanYi Zen Hei"/>
        <family val="2"/>
      </rPr>
      <t xml:space="preserve">사골먹은감자탕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)</t>
    </r>
  </si>
  <si>
    <t xml:space="preserve">S89753</t>
  </si>
  <si>
    <r>
      <rPr>
        <sz val="10"/>
        <rFont val="WenQuanYi Zen Hei"/>
        <family val="2"/>
      </rPr>
      <t xml:space="preserve">쇼부라멘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)</t>
    </r>
  </si>
  <si>
    <t xml:space="preserve">S91513</t>
  </si>
  <si>
    <r>
      <rPr>
        <sz val="10"/>
        <rFont val="WenQuanYi Zen Hei"/>
        <family val="2"/>
      </rPr>
      <t xml:space="preserve">바로한끼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대</t>
    </r>
    <r>
      <rPr>
        <sz val="10"/>
        <rFont val="Arial"/>
        <family val="0"/>
        <charset val="1"/>
      </rPr>
      <t xml:space="preserve">)</t>
    </r>
  </si>
  <si>
    <t xml:space="preserve">S94128</t>
  </si>
  <si>
    <r>
      <rPr>
        <sz val="10"/>
        <rFont val="Arial"/>
        <family val="0"/>
        <charset val="1"/>
      </rPr>
      <t xml:space="preserve">S</t>
    </r>
    <r>
      <rPr>
        <sz val="10"/>
        <rFont val="WenQuanYi Zen Hei"/>
        <family val="2"/>
      </rPr>
      <t xml:space="preserve">꽃담은소 대코드</t>
    </r>
  </si>
  <si>
    <t xml:space="preserve">S82459</t>
  </si>
  <si>
    <r>
      <rPr>
        <sz val="10"/>
        <rFont val="WenQuanYi Zen Hei"/>
        <family val="2"/>
      </rPr>
      <t xml:space="preserve">치킨버스</t>
    </r>
    <r>
      <rPr>
        <sz val="10"/>
        <rFont val="Arial"/>
        <family val="0"/>
        <charset val="1"/>
      </rPr>
      <t xml:space="preserve">_(</t>
    </r>
    <r>
      <rPr>
        <sz val="10"/>
        <rFont val="WenQuanYi Zen Hei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푸드버스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대분류</t>
    </r>
  </si>
  <si>
    <t xml:space="preserve">S90018</t>
  </si>
  <si>
    <r>
      <rPr>
        <sz val="10"/>
        <rFont val="Arial"/>
        <family val="0"/>
        <charset val="1"/>
      </rPr>
      <t xml:space="preserve">FR_</t>
    </r>
    <r>
      <rPr>
        <sz val="10"/>
        <rFont val="WenQuanYi Zen Hei"/>
        <family val="2"/>
      </rPr>
      <t xml:space="preserve">그리너 대분류</t>
    </r>
  </si>
  <si>
    <t xml:space="preserve">S96313</t>
  </si>
  <si>
    <r>
      <rPr>
        <sz val="10"/>
        <rFont val="Arial"/>
        <family val="0"/>
        <charset val="1"/>
      </rPr>
      <t xml:space="preserve">FR_</t>
    </r>
    <r>
      <rPr>
        <sz val="10"/>
        <rFont val="WenQuanYi Zen Hei"/>
        <family val="2"/>
      </rPr>
      <t xml:space="preserve">꼬알라파이</t>
    </r>
  </si>
  <si>
    <t xml:space="preserve">S96448</t>
  </si>
  <si>
    <r>
      <rPr>
        <sz val="10"/>
        <rFont val="Arial"/>
        <family val="0"/>
        <charset val="1"/>
      </rPr>
      <t xml:space="preserve">FR_</t>
    </r>
    <r>
      <rPr>
        <sz val="10"/>
        <rFont val="WenQuanYi Zen Hei"/>
        <family val="2"/>
      </rPr>
      <t xml:space="preserve">포시즌버거 신림본점</t>
    </r>
    <r>
      <rPr>
        <sz val="10"/>
        <rFont val="Arial"/>
        <family val="0"/>
        <charset val="1"/>
      </rPr>
      <t xml:space="preserve">(23)</t>
    </r>
  </si>
  <si>
    <t xml:space="preserve">S83876</t>
  </si>
  <si>
    <r>
      <rPr>
        <sz val="10"/>
        <rFont val="WenQuanYi Zen Hei"/>
        <family val="2"/>
      </rPr>
      <t xml:space="preserve">프레시온마켓 직배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중</t>
    </r>
    <r>
      <rPr>
        <sz val="10"/>
        <rFont val="Arial"/>
        <family val="0"/>
        <charset val="1"/>
      </rPr>
      <t xml:space="preserve">)</t>
    </r>
  </si>
  <si>
    <t xml:space="preserve">S228760</t>
  </si>
  <si>
    <t xml:space="preserve">감자마켓 대분류</t>
  </si>
  <si>
    <r>
      <rPr>
        <sz val="10"/>
        <color rgb="FF595959"/>
        <rFont val="Arial"/>
        <family val="0"/>
        <charset val="1"/>
      </rPr>
      <t xml:space="preserve">10</t>
    </r>
    <r>
      <rPr>
        <sz val="10"/>
        <color rgb="FF595959"/>
        <rFont val="WenQuanYi Zen Hei"/>
        <family val="2"/>
      </rPr>
      <t xml:space="preserve">월 </t>
    </r>
    <r>
      <rPr>
        <sz val="10"/>
        <color rgb="FF595959"/>
        <rFont val="Arial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주 </t>
    </r>
    <r>
      <rPr>
        <sz val="10"/>
        <color rgb="FF595959"/>
        <rFont val="Arial"/>
        <family val="0"/>
        <charset val="1"/>
      </rPr>
      <t xml:space="preserve">-7,476</t>
    </r>
    <r>
      <rPr>
        <sz val="10"/>
        <color rgb="FF595959"/>
        <rFont val="WenQuanYi Zen Hei"/>
        <family val="2"/>
      </rPr>
      <t xml:space="preserve">만원 음수 매출 → 최근 </t>
    </r>
    <r>
      <rPr>
        <sz val="10"/>
        <color rgb="FF595959"/>
        <rFont val="Arial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주 증감률 왜곡</t>
    </r>
  </si>
  <si>
    <t xml:space="preserve">※ 주석</t>
  </si>
  <si>
    <r>
      <rPr>
        <sz val="10"/>
        <color rgb="FF595959"/>
        <rFont val="Arial"/>
        <family val="0"/>
        <charset val="1"/>
      </rPr>
      <t xml:space="preserve">· </t>
    </r>
    <r>
      <rPr>
        <sz val="10"/>
        <color rgb="FF595959"/>
        <rFont val="WenQuanYi Zen Hei"/>
        <family val="2"/>
      </rPr>
      <t xml:space="preserve">원본</t>
    </r>
    <r>
      <rPr>
        <sz val="10"/>
        <color rgb="FF595959"/>
        <rFont val="Arial"/>
        <family val="0"/>
        <charset val="1"/>
      </rPr>
      <t xml:space="preserve">: Weekly Brand Tracking(</t>
    </r>
    <r>
      <rPr>
        <sz val="10"/>
        <color rgb="FF595959"/>
        <rFont val="WenQuanYi Zen Hei"/>
        <family val="2"/>
      </rPr>
      <t xml:space="preserve">주 매출</t>
    </r>
    <r>
      <rPr>
        <sz val="10"/>
        <color rgb="FF595959"/>
        <rFont val="Arial"/>
        <family val="0"/>
        <charset val="1"/>
      </rPr>
      <t xml:space="preserve">·</t>
    </r>
    <r>
      <rPr>
        <sz val="10"/>
        <color rgb="FF595959"/>
        <rFont val="WenQuanYi Zen Hei"/>
        <family val="2"/>
      </rPr>
      <t xml:space="preserve">매장수</t>
    </r>
    <r>
      <rPr>
        <sz val="10"/>
        <color rgb="FF595959"/>
        <rFont val="Arial"/>
        <family val="0"/>
        <charset val="1"/>
      </rPr>
      <t xml:space="preserve">), Monthly Brand Tracking(</t>
    </r>
    <r>
      <rPr>
        <sz val="10"/>
        <color rgb="FF595959"/>
        <rFont val="WenQuanYi Zen Hei"/>
        <family val="2"/>
      </rPr>
      <t xml:space="preserve">매출</t>
    </r>
    <r>
      <rPr>
        <sz val="10"/>
        <color rgb="FF595959"/>
        <rFont val="Arial"/>
        <family val="0"/>
        <charset val="1"/>
      </rPr>
      <t xml:space="preserve">) </t>
    </r>
    <r>
      <rPr>
        <sz val="10"/>
        <color rgb="FF595959"/>
        <rFont val="WenQuanYi Zen Hei"/>
        <family val="2"/>
      </rPr>
      <t xml:space="preserve">시트</t>
    </r>
    <r>
      <rPr>
        <sz val="10"/>
        <color rgb="FF595959"/>
        <rFont val="Arial"/>
        <family val="0"/>
        <charset val="1"/>
      </rPr>
      <t xml:space="preserve">. </t>
    </r>
    <r>
      <rPr>
        <sz val="10"/>
        <color rgb="FF595959"/>
        <rFont val="WenQuanYi Zen Hei"/>
        <family val="2"/>
      </rPr>
      <t xml:space="preserve">파란 글씨 </t>
    </r>
    <r>
      <rPr>
        <sz val="10"/>
        <color rgb="FF595959"/>
        <rFont val="Arial"/>
        <family val="0"/>
        <charset val="1"/>
      </rPr>
      <t xml:space="preserve">= </t>
    </r>
    <r>
      <rPr>
        <sz val="10"/>
        <color rgb="FF595959"/>
        <rFont val="WenQuanYi Zen Hei"/>
        <family val="2"/>
      </rPr>
      <t xml:space="preserve">원본에서 옮긴 값</t>
    </r>
    <r>
      <rPr>
        <sz val="10"/>
        <color rgb="FF595959"/>
        <rFont val="Arial"/>
        <family val="0"/>
        <charset val="1"/>
      </rPr>
      <t xml:space="preserve">, </t>
    </r>
    <r>
      <rPr>
        <sz val="10"/>
        <color rgb="FF595959"/>
        <rFont val="WenQuanYi Zen Hei"/>
        <family val="2"/>
      </rPr>
      <t xml:space="preserve">검정 </t>
    </r>
    <r>
      <rPr>
        <sz val="10"/>
        <color rgb="FF595959"/>
        <rFont val="Arial"/>
        <family val="0"/>
        <charset val="1"/>
      </rPr>
      <t xml:space="preserve">= </t>
    </r>
    <r>
      <rPr>
        <sz val="10"/>
        <color rgb="FF595959"/>
        <rFont val="WenQuanYi Zen Hei"/>
        <family val="2"/>
      </rPr>
      <t xml:space="preserve">수식</t>
    </r>
    <r>
      <rPr>
        <sz val="10"/>
        <color rgb="FF595959"/>
        <rFont val="Arial"/>
        <family val="0"/>
        <charset val="1"/>
      </rPr>
      <t xml:space="preserve">.</t>
    </r>
  </si>
  <si>
    <r>
      <rPr>
        <sz val="10"/>
        <color rgb="FF595959"/>
        <rFont val="Arial"/>
        <family val="0"/>
        <charset val="1"/>
      </rPr>
      <t xml:space="preserve">· </t>
    </r>
    <r>
      <rPr>
        <sz val="10"/>
        <color rgb="FF595959"/>
        <rFont val="WenQuanYi Zen Hei"/>
        <family val="2"/>
      </rPr>
      <t xml:space="preserve">전 기간 매출이 없는 걸개처는 제외</t>
    </r>
    <r>
      <rPr>
        <sz val="10"/>
        <color rgb="FF595959"/>
        <rFont val="Arial"/>
        <family val="0"/>
        <charset val="1"/>
      </rPr>
      <t xml:space="preserve">, </t>
    </r>
    <r>
      <rPr>
        <sz val="10"/>
        <color rgb="FF595959"/>
        <rFont val="WenQuanYi Zen Hei"/>
        <family val="2"/>
      </rPr>
      <t xml:space="preserve">동일 본점명이 코드 변경으로 나뉜 돈카춘</t>
    </r>
    <r>
      <rPr>
        <sz val="10"/>
        <color rgb="FF595959"/>
        <rFont val="Arial"/>
        <family val="0"/>
        <charset val="1"/>
      </rPr>
      <t xml:space="preserve">·</t>
    </r>
    <r>
      <rPr>
        <sz val="10"/>
        <color rgb="FF595959"/>
        <rFont val="WenQuanYi Zen Hei"/>
        <family val="2"/>
      </rPr>
      <t xml:space="preserve">무마진덮밥은 </t>
    </r>
    <r>
      <rPr>
        <sz val="10"/>
        <color rgb="FF595959"/>
        <rFont val="Arial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행으로 합산</t>
    </r>
    <r>
      <rPr>
        <sz val="10"/>
        <color rgb="FF595959"/>
        <rFont val="Arial"/>
        <family val="0"/>
        <charset val="1"/>
      </rPr>
      <t xml:space="preserve">, 120</t>
    </r>
    <r>
      <rPr>
        <sz val="10"/>
        <color rgb="FF595959"/>
        <rFont val="WenQuanYi Zen Hei"/>
        <family val="2"/>
      </rPr>
      <t xml:space="preserve">개 걸개처 수록</t>
    </r>
    <r>
      <rPr>
        <sz val="10"/>
        <color rgb="FF595959"/>
        <rFont val="Arial"/>
        <family val="0"/>
        <charset val="1"/>
      </rPr>
      <t xml:space="preserve">. </t>
    </r>
    <r>
      <rPr>
        <sz val="10"/>
        <color rgb="FF595959"/>
        <rFont val="WenQuanYi Zen Hei"/>
        <family val="2"/>
      </rPr>
      <t xml:space="preserve">순위는 최근 </t>
    </r>
    <r>
      <rPr>
        <sz val="10"/>
        <color rgb="FF595959"/>
        <rFont val="Arial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주 매출 기준</t>
    </r>
    <r>
      <rPr>
        <sz val="10"/>
        <color rgb="FF595959"/>
        <rFont val="Arial"/>
        <family val="0"/>
        <charset val="1"/>
      </rPr>
      <t xml:space="preserve">.</t>
    </r>
  </si>
  <si>
    <r>
      <rPr>
        <sz val="10"/>
        <color rgb="FF595959"/>
        <rFont val="Arial"/>
        <family val="0"/>
        <charset val="1"/>
      </rPr>
      <t xml:space="preserve">· </t>
    </r>
    <r>
      <rPr>
        <sz val="10"/>
        <color rgb="FF595959"/>
        <rFont val="WenQuanYi Zen Hei"/>
        <family val="2"/>
      </rPr>
      <t xml:space="preserve">주간</t>
    </r>
    <r>
      <rPr>
        <sz val="10"/>
        <color rgb="FF595959"/>
        <rFont val="Arial"/>
        <family val="0"/>
        <charset val="1"/>
      </rPr>
      <t xml:space="preserve">·</t>
    </r>
    <r>
      <rPr>
        <sz val="10"/>
        <color rgb="FF595959"/>
        <rFont val="WenQuanYi Zen Hei"/>
        <family val="2"/>
      </rPr>
      <t xml:space="preserve">월간 시트의 본점코드가 다른 걸개처</t>
    </r>
    <r>
      <rPr>
        <sz val="10"/>
        <color rgb="FF595959"/>
        <rFont val="Arial"/>
        <family val="0"/>
        <charset val="1"/>
      </rPr>
      <t xml:space="preserve">: </t>
    </r>
    <r>
      <rPr>
        <sz val="10"/>
        <color rgb="FF595959"/>
        <rFont val="WenQuanYi Zen Hei"/>
        <family val="2"/>
      </rPr>
      <t xml:space="preserve">후참잘</t>
    </r>
    <r>
      <rPr>
        <sz val="10"/>
        <color rgb="FF595959"/>
        <rFont val="Arial"/>
        <family val="0"/>
        <charset val="1"/>
      </rPr>
      <t xml:space="preserve">(B6135 ↔ S258544), </t>
    </r>
    <r>
      <rPr>
        <sz val="10"/>
        <color rgb="FF595959"/>
        <rFont val="WenQuanYi Zen Hei"/>
        <family val="2"/>
      </rPr>
      <t xml:space="preserve">샤브온당</t>
    </r>
    <r>
      <rPr>
        <sz val="10"/>
        <color rgb="FF595959"/>
        <rFont val="Arial"/>
        <family val="0"/>
        <charset val="1"/>
      </rPr>
      <t xml:space="preserve">(B6365 ↔ S261783). </t>
    </r>
    <r>
      <rPr>
        <sz val="10"/>
        <color rgb="FF595959"/>
        <rFont val="WenQuanYi Zen Hei"/>
        <family val="2"/>
      </rPr>
      <t xml:space="preserve">월간 수치는 해당 코드 기준이라 과소 계상</t>
    </r>
    <r>
      <rPr>
        <sz val="10"/>
        <color rgb="FF595959"/>
        <rFont val="Arial"/>
        <family val="0"/>
        <charset val="1"/>
      </rPr>
      <t xml:space="preserve">.</t>
    </r>
  </si>
  <si>
    <r>
      <rPr>
        <sz val="10"/>
        <color rgb="FF595959"/>
        <rFont val="Arial"/>
        <family val="0"/>
        <charset val="1"/>
      </rPr>
      <t xml:space="preserve">· </t>
    </r>
    <r>
      <rPr>
        <sz val="10"/>
        <color rgb="FF595959"/>
        <rFont val="WenQuanYi Zen Hei"/>
        <family val="2"/>
      </rPr>
      <t xml:space="preserve">최근 </t>
    </r>
    <r>
      <rPr>
        <sz val="10"/>
        <color rgb="FF595959"/>
        <rFont val="Arial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주에는 추석 연휴 주</t>
    </r>
    <r>
      <rPr>
        <sz val="10"/>
        <color rgb="FF595959"/>
        <rFont val="Arial"/>
        <family val="0"/>
        <charset val="1"/>
      </rPr>
      <t xml:space="preserve">(9/21~9/27)</t>
    </r>
    <r>
      <rPr>
        <sz val="10"/>
        <color rgb="FF595959"/>
        <rFont val="WenQuanYi Zen Hei"/>
        <family val="2"/>
      </rPr>
      <t xml:space="preserve">가 포함돼 단기 증감률이 연휴 효과의 영향을 받음</t>
    </r>
    <r>
      <rPr>
        <sz val="10"/>
        <color rgb="FF595959"/>
        <rFont val="Arial"/>
        <family val="0"/>
        <charset val="1"/>
      </rPr>
      <t xml:space="preserve">.</t>
    </r>
  </si>
  <si>
    <r>
      <rPr>
        <b val="true"/>
        <sz val="12"/>
        <rFont val="WenQuanYi Zen Hei"/>
        <family val="2"/>
      </rPr>
      <t xml:space="preserve">걸개처별 주간 매출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WenQuanYi Zen Hei"/>
        <family val="2"/>
      </rPr>
      <t xml:space="preserve">원</t>
    </r>
    <r>
      <rPr>
        <b val="true"/>
        <sz val="12"/>
        <rFont val="Arial"/>
        <family val="0"/>
        <charset val="1"/>
      </rPr>
      <t xml:space="preserve">) — </t>
    </r>
    <r>
      <rPr>
        <b val="true"/>
        <sz val="12"/>
        <rFont val="WenQuanYi Zen Hei"/>
        <family val="2"/>
      </rPr>
      <t xml:space="preserve">출처</t>
    </r>
    <r>
      <rPr>
        <b val="true"/>
        <sz val="12"/>
        <rFont val="Arial"/>
        <family val="0"/>
        <charset val="1"/>
      </rPr>
      <t xml:space="preserve">: Weekly Brand Tracking </t>
    </r>
    <r>
      <rPr>
        <b val="true"/>
        <sz val="12"/>
        <rFont val="WenQuanYi Zen Hei"/>
        <family val="2"/>
      </rPr>
      <t xml:space="preserve">시트 </t>
    </r>
    <r>
      <rPr>
        <b val="true"/>
        <sz val="12"/>
        <rFont val="Arial"/>
        <family val="0"/>
        <charset val="1"/>
      </rPr>
      <t xml:space="preserve">[</t>
    </r>
    <r>
      <rPr>
        <b val="true"/>
        <sz val="12"/>
        <rFont val="WenQuanYi Zen Hei"/>
        <family val="2"/>
      </rPr>
      <t xml:space="preserve">주 매출</t>
    </r>
    <r>
      <rPr>
        <b val="true"/>
        <sz val="12"/>
        <rFont val="Arial"/>
        <family val="0"/>
        <charset val="1"/>
      </rPr>
      <t xml:space="preserve">]</t>
    </r>
  </si>
  <si>
    <r>
      <rPr>
        <b val="true"/>
        <sz val="10"/>
        <color rgb="FFFFFFFF"/>
        <rFont val="Arial"/>
        <family val="0"/>
        <charset val="1"/>
      </rPr>
      <t xml:space="preserve">'25 8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</si>
  <si>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'25 8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</si>
  <si>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'25 9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</si>
  <si>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'25 9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</si>
  <si>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'25 9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</si>
  <si>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'25 9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</si>
  <si>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'25 10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</si>
  <si>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'25 10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</si>
  <si>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'25 10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</si>
  <si>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'25 10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</si>
  <si>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'25 10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5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</si>
  <si>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'25 11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</si>
  <si>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'25 11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</si>
  <si>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'25 11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</si>
  <si>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'25 11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</si>
  <si>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'25 12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</si>
  <si>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'25 12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</si>
  <si>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'25 12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</si>
  <si>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'25 12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</si>
  <si>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'25 1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</si>
  <si>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'26 1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</si>
  <si>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'26 1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</si>
  <si>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'26 1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</si>
  <si>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'26 1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5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</si>
  <si>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'26 2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</si>
  <si>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'26 2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</si>
  <si>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'26 2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</si>
  <si>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'26 2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</si>
  <si>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'26 3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</si>
  <si>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'26 3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</si>
  <si>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'26 3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</si>
  <si>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'26 3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</si>
  <si>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'26 3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5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</si>
  <si>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'26 4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</si>
  <si>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'26 4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</si>
  <si>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'26 4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</si>
  <si>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'26 4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5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</si>
  <si>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'26 5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</si>
  <si>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'26 5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</si>
  <si>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'26 5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</si>
  <si>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'26 5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</si>
  <si>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'26 6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</si>
  <si>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'26 6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</si>
  <si>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'26 6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</si>
  <si>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'26 6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</si>
  <si>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'26 7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</si>
  <si>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'26 7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</si>
  <si>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'26 7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</si>
  <si>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'26 7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</si>
  <si>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'26 7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5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</si>
  <si>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'26 8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</si>
  <si>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'26 8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</si>
  <si>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'26 8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</si>
  <si>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'26 8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</si>
  <si>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'26 9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</si>
  <si>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'26 9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</si>
  <si>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'26 9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</si>
  <si>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'26 9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</si>
  <si>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'26 10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</si>
  <si>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'26 10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주차</t>
    </r>
  </si>
  <si>
    <r>
      <rPr>
        <b val="true"/>
        <sz val="10"/>
        <color rgb="FFFFFFFF"/>
        <rFont val="Arial"/>
        <family val="0"/>
        <charset val="1"/>
      </rPr>
      <t xml:space="preserve">'26 10</t>
    </r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주차</t>
    </r>
  </si>
  <si>
    <t xml:space="preserve">08/18~08/24</t>
  </si>
  <si>
    <t xml:space="preserve">08/25~08/31</t>
  </si>
  <si>
    <t xml:space="preserve">09/01~09/07</t>
  </si>
  <si>
    <t xml:space="preserve">09/08~09/14</t>
  </si>
  <si>
    <t xml:space="preserve">09/15~09/21</t>
  </si>
  <si>
    <t xml:space="preserve">09/22~09/28</t>
  </si>
  <si>
    <t xml:space="preserve">09/29~10/05</t>
  </si>
  <si>
    <t xml:space="preserve">10/06~10/12</t>
  </si>
  <si>
    <t xml:space="preserve">10/13~10/19</t>
  </si>
  <si>
    <t xml:space="preserve">10/20~10/26</t>
  </si>
  <si>
    <t xml:space="preserve">10/27~11/02</t>
  </si>
  <si>
    <t xml:space="preserve">11/03~11/09</t>
  </si>
  <si>
    <t xml:space="preserve">11/10~11/16</t>
  </si>
  <si>
    <t xml:space="preserve">11/17~11/23</t>
  </si>
  <si>
    <t xml:space="preserve">11/24~11/30</t>
  </si>
  <si>
    <t xml:space="preserve">12/01~12/07</t>
  </si>
  <si>
    <t xml:space="preserve">12/08~12/14</t>
  </si>
  <si>
    <t xml:space="preserve">12/15~12/21</t>
  </si>
  <si>
    <t xml:space="preserve">12/22~12/28</t>
  </si>
  <si>
    <t xml:space="preserve">12/29~01/04</t>
  </si>
  <si>
    <t xml:space="preserve">01/05~01/11</t>
  </si>
  <si>
    <t xml:space="preserve">01/12~01/18</t>
  </si>
  <si>
    <t xml:space="preserve">01/19~01/25</t>
  </si>
  <si>
    <t xml:space="preserve">01/26~02/01</t>
  </si>
  <si>
    <t xml:space="preserve">02/02~02/08</t>
  </si>
  <si>
    <t xml:space="preserve">02/09~02/15</t>
  </si>
  <si>
    <t xml:space="preserve">02/16~02/22</t>
  </si>
  <si>
    <t xml:space="preserve">02/23~03/01</t>
  </si>
  <si>
    <t xml:space="preserve">03/02~03/08</t>
  </si>
  <si>
    <t xml:space="preserve">03/09~03/15</t>
  </si>
  <si>
    <t xml:space="preserve">03/16~03/22</t>
  </si>
  <si>
    <t xml:space="preserve">03/23~03/29</t>
  </si>
  <si>
    <t xml:space="preserve">03/30~04/05</t>
  </si>
  <si>
    <t xml:space="preserve">04/06~04/12</t>
  </si>
  <si>
    <t xml:space="preserve">04/13~04/19</t>
  </si>
  <si>
    <t xml:space="preserve">04/20~04/26</t>
  </si>
  <si>
    <t xml:space="preserve">04/27~05/03</t>
  </si>
  <si>
    <t xml:space="preserve">05/04~05/10</t>
  </si>
  <si>
    <t xml:space="preserve">05/11~05/17</t>
  </si>
  <si>
    <t xml:space="preserve">05/18~05/24</t>
  </si>
  <si>
    <t xml:space="preserve">05/25~05/31</t>
  </si>
  <si>
    <t xml:space="preserve">06/01~06/07</t>
  </si>
  <si>
    <t xml:space="preserve">06/08~06/14</t>
  </si>
  <si>
    <t xml:space="preserve">06/15~06/21</t>
  </si>
  <si>
    <t xml:space="preserve">06/22~06/28</t>
  </si>
  <si>
    <t xml:space="preserve">06/29~07/05</t>
  </si>
  <si>
    <t xml:space="preserve">07/06~07/12</t>
  </si>
  <si>
    <t xml:space="preserve">07/13~07/19</t>
  </si>
  <si>
    <t xml:space="preserve">07/20~07/26</t>
  </si>
  <si>
    <t xml:space="preserve">07/27~08/02</t>
  </si>
  <si>
    <t xml:space="preserve">08/03~08/09</t>
  </si>
  <si>
    <t xml:space="preserve">08/10~08/16</t>
  </si>
  <si>
    <t xml:space="preserve">08/17~08/23</t>
  </si>
  <si>
    <t xml:space="preserve">08/24~08/30</t>
  </si>
  <si>
    <t xml:space="preserve">08/31~09/06</t>
  </si>
  <si>
    <t xml:space="preserve">09/07~09/13</t>
  </si>
  <si>
    <t xml:space="preserve">09/14~09/20</t>
  </si>
  <si>
    <t xml:space="preserve">09/21~09/27</t>
  </si>
  <si>
    <t xml:space="preserve">09/28~10/04</t>
  </si>
  <si>
    <t xml:space="preserve">10/05~10/11</t>
  </si>
  <si>
    <t xml:space="preserve">10/12~10/18</t>
  </si>
  <si>
    <t xml:space="preserve">합계</t>
  </si>
  <si>
    <r>
      <rPr>
        <b val="true"/>
        <sz val="12"/>
        <rFont val="WenQuanYi Zen Hei"/>
        <family val="2"/>
      </rPr>
      <t xml:space="preserve">걸개처별 월간 매출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WenQuanYi Zen Hei"/>
        <family val="2"/>
      </rPr>
      <t xml:space="preserve">원</t>
    </r>
    <r>
      <rPr>
        <b val="true"/>
        <sz val="12"/>
        <rFont val="Arial"/>
        <family val="0"/>
        <charset val="1"/>
      </rPr>
      <t xml:space="preserve">) — </t>
    </r>
    <r>
      <rPr>
        <b val="true"/>
        <sz val="12"/>
        <rFont val="WenQuanYi Zen Hei"/>
        <family val="2"/>
      </rPr>
      <t xml:space="preserve">출처</t>
    </r>
    <r>
      <rPr>
        <b val="true"/>
        <sz val="12"/>
        <rFont val="Arial"/>
        <family val="0"/>
        <charset val="1"/>
      </rPr>
      <t xml:space="preserve">: Monthly Brand Tracking </t>
    </r>
    <r>
      <rPr>
        <b val="true"/>
        <sz val="12"/>
        <rFont val="WenQuanYi Zen Hei"/>
        <family val="2"/>
      </rPr>
      <t xml:space="preserve">시트 </t>
    </r>
    <r>
      <rPr>
        <b val="true"/>
        <sz val="12"/>
        <rFont val="Arial"/>
        <family val="0"/>
        <charset val="1"/>
      </rPr>
      <t xml:space="preserve">[</t>
    </r>
    <r>
      <rPr>
        <b val="true"/>
        <sz val="12"/>
        <rFont val="WenQuanYi Zen Hei"/>
        <family val="2"/>
      </rPr>
      <t xml:space="preserve">매출</t>
    </r>
    <r>
      <rPr>
        <b val="true"/>
        <sz val="12"/>
        <rFont val="Arial"/>
        <family val="0"/>
        <charset val="1"/>
      </rPr>
      <t xml:space="preserve">]</t>
    </r>
  </si>
  <si>
    <r>
      <rPr>
        <b val="true"/>
        <sz val="10"/>
        <color rgb="FFFFFFFF"/>
        <rFont val="WenQuanYi Zen Hei"/>
        <family val="2"/>
      </rPr>
      <t xml:space="preserve">월 매출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</si>
  <si>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전월 대비 증감률</t>
  </si>
  <si>
    <r>
      <rPr>
        <b val="true"/>
        <sz val="10"/>
        <color rgb="FFFFFFFF"/>
        <rFont val="Arial"/>
        <family val="0"/>
        <charset val="1"/>
      </rPr>
      <t xml:space="preserve">1~9</t>
    </r>
    <r>
      <rPr>
        <b val="true"/>
        <sz val="10"/>
        <color rgb="FFFFFFFF"/>
        <rFont val="WenQuanYi Zen Hei"/>
        <family val="2"/>
      </rPr>
      <t xml:space="preserve">월 누계</t>
    </r>
  </si>
  <si>
    <t xml:space="preserve">차트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</si>
</sst>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,,;\(#,##0,,\);\-"/>
    <numFmt numFmtId="166" formatCode="0.0%;\(0.0%\);\-"/>
    <numFmt numFmtId="167" formatCode="0"/>
    <numFmt numFmtId="168" formatCode="#,##0;\(#,##0\);\-"/>
    <numFmt numFmtId="169" formatCode="#,##0,,&quot;백만&quot;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5"/>
      <name val="WenQuanYi Zen Hei"/>
      <family val="2"/>
    </font>
    <font>
      <i val="true"/>
      <sz val="10"/>
      <color rgb="FF595959"/>
      <name val="WenQuanYi Zen Hei"/>
      <family val="2"/>
    </font>
    <font>
      <i val="true"/>
      <sz val="10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2"/>
      <color rgb="FF1F3864"/>
      <name val="WenQuanYi Zen Hei"/>
      <family val="2"/>
    </font>
    <font>
      <b val="true"/>
      <sz val="10"/>
      <color rgb="FF1F3864"/>
      <name val="WenQuanYi Zen Hei"/>
      <family val="2"/>
    </font>
    <font>
      <b val="true"/>
      <sz val="10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Arial"/>
      <family val="0"/>
      <charset val="1"/>
    </font>
    <font>
      <b val="true"/>
      <sz val="10"/>
      <name val="WenQuanYi Zen Hei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WenQuanYi Zen Hei"/>
      <family val="2"/>
    </font>
    <font>
      <sz val="9"/>
      <color rgb="FF595959"/>
      <name val="Arial"/>
      <family val="0"/>
      <charset val="1"/>
    </font>
    <font>
      <sz val="10"/>
      <name val="WenQuanYi Zen Hei"/>
      <family val="2"/>
    </font>
    <font>
      <b val="true"/>
      <sz val="14"/>
      <name val="Arial"/>
      <family val="0"/>
      <charset val="1"/>
    </font>
    <font>
      <b val="true"/>
      <sz val="14"/>
      <name val="WenQuanYi Zen Hei"/>
      <family val="2"/>
    </font>
    <font>
      <b val="true"/>
      <sz val="13"/>
      <name val="Arial"/>
      <family val="0"/>
      <charset val="1"/>
    </font>
    <font>
      <sz val="10"/>
      <color rgb="FF595959"/>
      <name val="WenQuanYi Zen Hei"/>
      <family val="2"/>
    </font>
    <font>
      <sz val="10"/>
      <color rgb="FF595959"/>
      <name val="Arial"/>
      <family val="0"/>
      <charset val="1"/>
    </font>
    <font>
      <b val="true"/>
      <sz val="10"/>
      <color rgb="FF595959"/>
      <name val="WenQuanYi Zen Hei"/>
      <family val="2"/>
    </font>
    <font>
      <sz val="10"/>
      <name val="Arial"/>
      <family val="2"/>
    </font>
    <font>
      <b val="true"/>
      <sz val="12"/>
      <name val="WenQuanYi Zen Hei"/>
      <family val="2"/>
    </font>
    <font>
      <b val="true"/>
      <sz val="12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WenQuanYi Zen Hei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9E1F2"/>
        <bgColor rgb="FFDDEBF7"/>
      </patternFill>
    </fill>
    <fill>
      <patternFill patternType="solid">
        <fgColor rgb="FF1F3864"/>
        <bgColor rgb="FF1F4E79"/>
      </patternFill>
    </fill>
    <fill>
      <patternFill patternType="solid">
        <fgColor rgb="FFE2EFDA"/>
        <bgColor rgb="FFEDEDED"/>
      </patternFill>
    </fill>
    <fill>
      <patternFill patternType="solid">
        <fgColor rgb="FFFCE4E4"/>
        <bgColor rgb="FFEDEDED"/>
      </patternFill>
    </fill>
    <fill>
      <patternFill patternType="solid">
        <fgColor rgb="FFFFF2CC"/>
        <bgColor rgb="FFFCE4E4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D9E1F2"/>
      </patternFill>
    </fill>
    <fill>
      <patternFill patternType="solid">
        <fgColor rgb="FFEDEDED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0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0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0" fillId="9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ont>
        <name val="Arial"/>
        <charset val="1"/>
        <family val="0"/>
        <color rgb="FF006100"/>
      </font>
      <fill>
        <patternFill>
          <bgColor rgb="FFE2EFDA"/>
        </patternFill>
      </fill>
    </dxf>
    <dxf>
      <font>
        <name val="Arial"/>
        <charset val="1"/>
        <family val="0"/>
        <color rgb="FF9C0006"/>
      </font>
      <fill>
        <patternFill>
          <bgColor rgb="FFFCE4E4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E2EFDA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CE4E4"/>
        </patternFill>
      </fill>
    </dxf>
    <dxf>
      <font>
        <name val="Arial"/>
        <charset val="1"/>
        <family val="0"/>
        <b val="1"/>
        <color rgb="FF7F7F7F"/>
      </font>
      <fill>
        <patternFill>
          <bgColor rgb="FFEDEDED"/>
        </patternFill>
      </fill>
    </dxf>
    <dxf>
      <font>
        <name val="Arial"/>
        <charset val="1"/>
        <family val="0"/>
        <b val="1"/>
        <color rgb="FF1F4E79"/>
      </font>
      <fill>
        <patternFill>
          <bgColor rgb="FF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7A44B"/>
      <rgbColor rgb="FF800080"/>
      <rgbColor rgb="FF4F81BD"/>
      <rgbColor rgb="FFBFBFBF"/>
      <rgbColor rgb="FF7F7F7F"/>
      <rgbColor rgb="FF8EA5CA"/>
      <rgbColor rgb="FFAA433F"/>
      <rgbColor rgb="FFFFF2CC"/>
      <rgbColor rgb="FFDDEBF7"/>
      <rgbColor rgb="FF660066"/>
      <rgbColor rgb="FFCC8F8E"/>
      <rgbColor rgb="FF4A7EBB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D9E1F2"/>
      <rgbColor rgb="FFB3C992"/>
      <rgbColor rgb="FFFF99CC"/>
      <rgbColor rgb="FF878787"/>
      <rgbColor rgb="FFFCE4E4"/>
      <rgbColor rgb="FF426FA6"/>
      <rgbColor rgb="FF46AAC4"/>
      <rgbColor rgb="FF98B855"/>
      <rgbColor rgb="FFFFCC00"/>
      <rgbColor rgb="FFDB8238"/>
      <rgbColor rgb="FFFF6600"/>
      <rgbColor rgb="FF6F568D"/>
      <rgbColor rgb="FFA596B9"/>
      <rgbColor rgb="FF1F3864"/>
      <rgbColor rgb="FF3D97AF"/>
      <rgbColor rgb="FF003300"/>
      <rgbColor rgb="FF333300"/>
      <rgbColor rgb="FF7D5FA0"/>
      <rgbColor rgb="FFBE4B48"/>
      <rgbColor rgb="FF1F4E7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전체 주간 매출 추이 (원)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'주별 매출'!$E$4:$BM$4</c:f>
              <c:strCache>
                <c:ptCount val="61"/>
                <c:pt idx="0">
                  <c:v>08/18~08/24</c:v>
                </c:pt>
                <c:pt idx="1">
                  <c:v>08/25~08/31</c:v>
                </c:pt>
                <c:pt idx="2">
                  <c:v>09/01~09/07</c:v>
                </c:pt>
                <c:pt idx="3">
                  <c:v>09/08~09/14</c:v>
                </c:pt>
                <c:pt idx="4">
                  <c:v>09/15~09/21</c:v>
                </c:pt>
                <c:pt idx="5">
                  <c:v>09/22~09/28</c:v>
                </c:pt>
                <c:pt idx="6">
                  <c:v>09/29~10/05</c:v>
                </c:pt>
                <c:pt idx="7">
                  <c:v>10/06~10/12</c:v>
                </c:pt>
                <c:pt idx="8">
                  <c:v>10/13~10/19</c:v>
                </c:pt>
                <c:pt idx="9">
                  <c:v>10/20~10/26</c:v>
                </c:pt>
                <c:pt idx="10">
                  <c:v>10/27~11/02</c:v>
                </c:pt>
                <c:pt idx="11">
                  <c:v>11/03~11/09</c:v>
                </c:pt>
                <c:pt idx="12">
                  <c:v>11/10~11/16</c:v>
                </c:pt>
                <c:pt idx="13">
                  <c:v>11/17~11/23</c:v>
                </c:pt>
                <c:pt idx="14">
                  <c:v>11/24~11/30</c:v>
                </c:pt>
                <c:pt idx="15">
                  <c:v>12/01~12/07</c:v>
                </c:pt>
                <c:pt idx="16">
                  <c:v>12/08~12/14</c:v>
                </c:pt>
                <c:pt idx="17">
                  <c:v>12/15~12/21</c:v>
                </c:pt>
                <c:pt idx="18">
                  <c:v>12/22~12/28</c:v>
                </c:pt>
                <c:pt idx="19">
                  <c:v>12/29~01/04</c:v>
                </c:pt>
                <c:pt idx="20">
                  <c:v>01/05~01/11</c:v>
                </c:pt>
                <c:pt idx="21">
                  <c:v>01/12~01/18</c:v>
                </c:pt>
                <c:pt idx="22">
                  <c:v>01/19~01/25</c:v>
                </c:pt>
                <c:pt idx="23">
                  <c:v>01/26~02/01</c:v>
                </c:pt>
                <c:pt idx="24">
                  <c:v>02/02~02/08</c:v>
                </c:pt>
                <c:pt idx="25">
                  <c:v>02/09~02/15</c:v>
                </c:pt>
                <c:pt idx="26">
                  <c:v>02/16~02/22</c:v>
                </c:pt>
                <c:pt idx="27">
                  <c:v>02/23~03/01</c:v>
                </c:pt>
                <c:pt idx="28">
                  <c:v>03/02~03/08</c:v>
                </c:pt>
                <c:pt idx="29">
                  <c:v>03/09~03/15</c:v>
                </c:pt>
                <c:pt idx="30">
                  <c:v>03/16~03/22</c:v>
                </c:pt>
                <c:pt idx="31">
                  <c:v>03/23~03/29</c:v>
                </c:pt>
                <c:pt idx="32">
                  <c:v>03/30~04/05</c:v>
                </c:pt>
                <c:pt idx="33">
                  <c:v>04/06~04/12</c:v>
                </c:pt>
                <c:pt idx="34">
                  <c:v>04/13~04/19</c:v>
                </c:pt>
                <c:pt idx="35">
                  <c:v>04/20~04/26</c:v>
                </c:pt>
                <c:pt idx="36">
                  <c:v>04/27~05/03</c:v>
                </c:pt>
                <c:pt idx="37">
                  <c:v>05/04~05/10</c:v>
                </c:pt>
                <c:pt idx="38">
                  <c:v>05/11~05/17</c:v>
                </c:pt>
                <c:pt idx="39">
                  <c:v>05/18~05/24</c:v>
                </c:pt>
                <c:pt idx="40">
                  <c:v>05/25~05/31</c:v>
                </c:pt>
                <c:pt idx="41">
                  <c:v>06/01~06/07</c:v>
                </c:pt>
                <c:pt idx="42">
                  <c:v>06/08~06/14</c:v>
                </c:pt>
                <c:pt idx="43">
                  <c:v>06/15~06/21</c:v>
                </c:pt>
                <c:pt idx="44">
                  <c:v>06/22~06/28</c:v>
                </c:pt>
                <c:pt idx="45">
                  <c:v>06/29~07/05</c:v>
                </c:pt>
                <c:pt idx="46">
                  <c:v>07/06~07/12</c:v>
                </c:pt>
                <c:pt idx="47">
                  <c:v>07/13~07/19</c:v>
                </c:pt>
                <c:pt idx="48">
                  <c:v>07/20~07/26</c:v>
                </c:pt>
                <c:pt idx="49">
                  <c:v>07/27~08/02</c:v>
                </c:pt>
                <c:pt idx="50">
                  <c:v>08/03~08/09</c:v>
                </c:pt>
                <c:pt idx="51">
                  <c:v>08/10~08/16</c:v>
                </c:pt>
                <c:pt idx="52">
                  <c:v>08/17~08/23</c:v>
                </c:pt>
                <c:pt idx="53">
                  <c:v>08/24~08/30</c:v>
                </c:pt>
                <c:pt idx="54">
                  <c:v>08/31~09/06</c:v>
                </c:pt>
                <c:pt idx="55">
                  <c:v>09/07~09/13</c:v>
                </c:pt>
                <c:pt idx="56">
                  <c:v>09/14~09/20</c:v>
                </c:pt>
                <c:pt idx="57">
                  <c:v>09/21~09/27</c:v>
                </c:pt>
                <c:pt idx="58">
                  <c:v>09/28~10/04</c:v>
                </c:pt>
                <c:pt idx="59">
                  <c:v>10/05~10/11</c:v>
                </c:pt>
                <c:pt idx="60">
                  <c:v>10/12~10/18</c:v>
                </c:pt>
              </c:strCache>
            </c:strRef>
          </c:cat>
          <c:val>
            <c:numRef>
              <c:f>'주별 매출'!$E$5:$BM$5</c:f>
              <c:numCache>
                <c:formatCode>#,##0;\(#,##0\);\-</c:formatCode>
                <c:ptCount val="61"/>
                <c:pt idx="0">
                  <c:v>4135515239</c:v>
                </c:pt>
                <c:pt idx="1">
                  <c:v>4111175183</c:v>
                </c:pt>
                <c:pt idx="2">
                  <c:v>4616874818</c:v>
                </c:pt>
                <c:pt idx="3">
                  <c:v>4473570554</c:v>
                </c:pt>
                <c:pt idx="4">
                  <c:v>4407015120</c:v>
                </c:pt>
                <c:pt idx="5">
                  <c:v>4604880979</c:v>
                </c:pt>
                <c:pt idx="6">
                  <c:v>6937220576</c:v>
                </c:pt>
                <c:pt idx="7">
                  <c:v>2869904601</c:v>
                </c:pt>
                <c:pt idx="8">
                  <c:v>4036154931</c:v>
                </c:pt>
                <c:pt idx="9">
                  <c:v>4394181342</c:v>
                </c:pt>
                <c:pt idx="10">
                  <c:v>4364829181</c:v>
                </c:pt>
                <c:pt idx="11">
                  <c:v>4543989920</c:v>
                </c:pt>
                <c:pt idx="12">
                  <c:v>4607661306</c:v>
                </c:pt>
                <c:pt idx="13">
                  <c:v>4547242879</c:v>
                </c:pt>
                <c:pt idx="14">
                  <c:v>4483203621</c:v>
                </c:pt>
                <c:pt idx="15">
                  <c:v>4521245079</c:v>
                </c:pt>
                <c:pt idx="16">
                  <c:v>4557058164</c:v>
                </c:pt>
                <c:pt idx="17">
                  <c:v>4831889871</c:v>
                </c:pt>
                <c:pt idx="18">
                  <c:v>5255569601</c:v>
                </c:pt>
                <c:pt idx="19">
                  <c:v>5231481385</c:v>
                </c:pt>
                <c:pt idx="20">
                  <c:v>5027262331</c:v>
                </c:pt>
                <c:pt idx="21">
                  <c:v>4757114797</c:v>
                </c:pt>
                <c:pt idx="22">
                  <c:v>4767824283</c:v>
                </c:pt>
                <c:pt idx="23">
                  <c:v>4356924134</c:v>
                </c:pt>
                <c:pt idx="24">
                  <c:v>4929485856</c:v>
                </c:pt>
                <c:pt idx="25">
                  <c:v>6098018314</c:v>
                </c:pt>
                <c:pt idx="26">
                  <c:v>3561961813</c:v>
                </c:pt>
                <c:pt idx="27">
                  <c:v>4695981589</c:v>
                </c:pt>
                <c:pt idx="28">
                  <c:v>5078740139</c:v>
                </c:pt>
                <c:pt idx="29">
                  <c:v>4786654979</c:v>
                </c:pt>
                <c:pt idx="30">
                  <c:v>4908709908</c:v>
                </c:pt>
                <c:pt idx="31">
                  <c:v>4954111127</c:v>
                </c:pt>
                <c:pt idx="32">
                  <c:v>4806252353</c:v>
                </c:pt>
                <c:pt idx="33">
                  <c:v>5110068153</c:v>
                </c:pt>
                <c:pt idx="34">
                  <c:v>4948507755</c:v>
                </c:pt>
                <c:pt idx="35">
                  <c:v>4900146657</c:v>
                </c:pt>
                <c:pt idx="36">
                  <c:v>5381221533</c:v>
                </c:pt>
                <c:pt idx="37">
                  <c:v>5519570930</c:v>
                </c:pt>
                <c:pt idx="38">
                  <c:v>5198739737</c:v>
                </c:pt>
                <c:pt idx="39">
                  <c:v>5392800603</c:v>
                </c:pt>
                <c:pt idx="40">
                  <c:v>4945660231</c:v>
                </c:pt>
                <c:pt idx="41">
                  <c:v>5632765671</c:v>
                </c:pt>
                <c:pt idx="42">
                  <c:v>5035703418</c:v>
                </c:pt>
                <c:pt idx="43">
                  <c:v>5255320533</c:v>
                </c:pt>
                <c:pt idx="44">
                  <c:v>5457686838</c:v>
                </c:pt>
                <c:pt idx="45">
                  <c:v>5263022607</c:v>
                </c:pt>
                <c:pt idx="46">
                  <c:v>5440375776</c:v>
                </c:pt>
                <c:pt idx="47">
                  <c:v>5718956031</c:v>
                </c:pt>
                <c:pt idx="48">
                  <c:v>5412485247</c:v>
                </c:pt>
                <c:pt idx="49">
                  <c:v>5116022570</c:v>
                </c:pt>
                <c:pt idx="50">
                  <c:v>5678773562</c:v>
                </c:pt>
                <c:pt idx="51">
                  <c:v>5658180475</c:v>
                </c:pt>
                <c:pt idx="52">
                  <c:v>5279409541</c:v>
                </c:pt>
                <c:pt idx="53">
                  <c:v>5161666136</c:v>
                </c:pt>
                <c:pt idx="54">
                  <c:v>5081197708</c:v>
                </c:pt>
                <c:pt idx="55">
                  <c:v>5077284203</c:v>
                </c:pt>
                <c:pt idx="56">
                  <c:v>5288478090</c:v>
                </c:pt>
                <c:pt idx="57">
                  <c:v>5453822902</c:v>
                </c:pt>
                <c:pt idx="58">
                  <c:v>4386736273</c:v>
                </c:pt>
                <c:pt idx="59">
                  <c:v>5110680458</c:v>
                </c:pt>
                <c:pt idx="60">
                  <c:v>5010739067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1896964"/>
        <c:axId val="5283601"/>
      </c:lineChart>
      <c:catAx>
        <c:axId val="418969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83601"/>
        <c:crosses val="autoZero"/>
        <c:auto val="1"/>
        <c:lblAlgn val="ctr"/>
        <c:lblOffset val="100"/>
        <c:noMultiLvlLbl val="0"/>
      </c:catAx>
      <c:valAx>
        <c:axId val="52836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,,&quot;백만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8969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전체 월간 매출 (원)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'월별 매출'!$D$4:$L$4</c:f>
              <c:strCache>
                <c:ptCount val="9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</c:strCache>
            </c:strRef>
          </c:cat>
          <c:val>
            <c:numRef>
              <c:f>'월별 매출'!$D$5:$L$5</c:f>
              <c:numCache>
                <c:formatCode>#,##0;\(#,##0\);\-</c:formatCode>
                <c:ptCount val="9"/>
                <c:pt idx="0">
                  <c:v>21750286263</c:v>
                </c:pt>
                <c:pt idx="1">
                  <c:v>19295447144</c:v>
                </c:pt>
                <c:pt idx="2">
                  <c:v>20923415382</c:v>
                </c:pt>
                <c:pt idx="3">
                  <c:v>21599349179</c:v>
                </c:pt>
                <c:pt idx="4">
                  <c:v>23431970830</c:v>
                </c:pt>
                <c:pt idx="5">
                  <c:v>22333222631</c:v>
                </c:pt>
                <c:pt idx="6">
                  <c:v>23465564667</c:v>
                </c:pt>
                <c:pt idx="7">
                  <c:v>22767166005</c:v>
                </c:pt>
                <c:pt idx="8">
                  <c:v>21340213998</c:v>
                </c:pt>
              </c:numCache>
            </c:numRef>
          </c:val>
        </c:ser>
        <c:gapWidth val="150"/>
        <c:overlap val="0"/>
        <c:axId val="80440976"/>
        <c:axId val="50956755"/>
      </c:barChart>
      <c:catAx>
        <c:axId val="8044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956755"/>
        <c:crosses val="autoZero"/>
        <c:auto val="1"/>
        <c:lblAlgn val="ctr"/>
        <c:lblOffset val="100"/>
        <c:noMultiLvlLbl val="0"/>
      </c:catAx>
      <c:valAx>
        <c:axId val="509567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,,&quot;백만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4409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상위 10개 걸개처 월간 매출 (최근 4주 매출 순)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"역전할머니맥주 대"</c:f>
              <c:strCache>
                <c:ptCount val="1"/>
                <c:pt idx="0">
                  <c:v>역전할머니맥주 대</c:v>
                </c:pt>
              </c:strCache>
            </c:strRef>
          </c:tx>
          <c:spPr>
            <a:solidFill>
              <a:srgbClr val="426fa6"/>
            </a:solidFill>
            <a:ln w="2844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'월별 매출'!$D$4:$L$4</c:f>
              <c:multiLvlStrCache>
                <c:ptCount val="1"/>
                <c:lvl>
                  <c:pt idx="0">
                    <c:v>9월</c:v>
                  </c:pt>
                </c:lvl>
                <c:lvl>
                  <c:pt idx="0">
                    <c:v>8월</c:v>
                  </c:pt>
                </c:lvl>
                <c:lvl>
                  <c:pt idx="0">
                    <c:v>7월</c:v>
                  </c:pt>
                </c:lvl>
                <c:lvl>
                  <c:pt idx="0">
                    <c:v>6월</c:v>
                  </c:pt>
                </c:lvl>
                <c:lvl>
                  <c:pt idx="0">
                    <c:v>5월</c:v>
                  </c:pt>
                </c:lvl>
                <c:lvl>
                  <c:pt idx="0">
                    <c:v>4월</c:v>
                  </c:pt>
                </c:lvl>
                <c:lvl>
                  <c:pt idx="0">
                    <c:v>3월</c:v>
                  </c:pt>
                </c:lvl>
                <c:lvl>
                  <c:pt idx="0">
                    <c:v>2월</c:v>
                  </c:pt>
                </c:lvl>
                <c:lvl>
                  <c:pt idx="0">
                    <c:v>1월</c:v>
                  </c:pt>
                </c:lvl>
              </c:multiLvlStrCache>
            </c:multiLvlStrRef>
          </c:cat>
          <c:val>
            <c:numRef>
              <c:f>'월별 매출'!$D$81:$L$81</c:f>
              <c:numCache>
                <c:formatCode>#,##0;\(#,##0\);\-</c:formatCode>
                <c:ptCount val="9"/>
                <c:pt idx="0">
                  <c:v>7245897669</c:v>
                </c:pt>
                <c:pt idx="1">
                  <c:v>6448663917</c:v>
                </c:pt>
                <c:pt idx="2">
                  <c:v>6439111491</c:v>
                </c:pt>
                <c:pt idx="3">
                  <c:v>6235038471</c:v>
                </c:pt>
                <c:pt idx="4">
                  <c:v>7157528258</c:v>
                </c:pt>
                <c:pt idx="5">
                  <c:v>7233664539</c:v>
                </c:pt>
                <c:pt idx="6">
                  <c:v>7721927983</c:v>
                </c:pt>
                <c:pt idx="7">
                  <c:v>7604036417</c:v>
                </c:pt>
                <c:pt idx="8">
                  <c:v>7100651508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"준코 대분류"</c:f>
              <c:strCache>
                <c:ptCount val="1"/>
                <c:pt idx="0">
                  <c:v>준코 대분류</c:v>
                </c:pt>
              </c:strCache>
            </c:strRef>
          </c:tx>
          <c:spPr>
            <a:solidFill>
              <a:srgbClr val="aa433f"/>
            </a:solidFill>
            <a:ln w="2844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'월별 매출'!$D$4:$L$4</c:f>
              <c:multiLvlStrCache>
                <c:ptCount val="1"/>
                <c:lvl>
                  <c:pt idx="0">
                    <c:v>9월</c:v>
                  </c:pt>
                </c:lvl>
                <c:lvl>
                  <c:pt idx="0">
                    <c:v>8월</c:v>
                  </c:pt>
                </c:lvl>
                <c:lvl>
                  <c:pt idx="0">
                    <c:v>7월</c:v>
                  </c:pt>
                </c:lvl>
                <c:lvl>
                  <c:pt idx="0">
                    <c:v>6월</c:v>
                  </c:pt>
                </c:lvl>
                <c:lvl>
                  <c:pt idx="0">
                    <c:v>5월</c:v>
                  </c:pt>
                </c:lvl>
                <c:lvl>
                  <c:pt idx="0">
                    <c:v>4월</c:v>
                  </c:pt>
                </c:lvl>
                <c:lvl>
                  <c:pt idx="0">
                    <c:v>3월</c:v>
                  </c:pt>
                </c:lvl>
                <c:lvl>
                  <c:pt idx="0">
                    <c:v>2월</c:v>
                  </c:pt>
                </c:lvl>
                <c:lvl>
                  <c:pt idx="0">
                    <c:v>1월</c:v>
                  </c:pt>
                </c:lvl>
              </c:multiLvlStrCache>
            </c:multiLvlStrRef>
          </c:cat>
          <c:val>
            <c:numRef>
              <c:f>'월별 매출'!$D$11:$L$11</c:f>
              <c:numCache>
                <c:formatCode>#,##0;\(#,##0\);\-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1573034761</c:v>
                </c:pt>
                <c:pt idx="3">
                  <c:v>1594153496</c:v>
                </c:pt>
                <c:pt idx="4">
                  <c:v>1740440845</c:v>
                </c:pt>
                <c:pt idx="5">
                  <c:v>1614729369</c:v>
                </c:pt>
                <c:pt idx="6">
                  <c:v>1779117776</c:v>
                </c:pt>
                <c:pt idx="7">
                  <c:v>1803955703</c:v>
                </c:pt>
                <c:pt idx="8">
                  <c:v>1836670965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"족발야시장_대분류 (무청감자탕 통합)"</c:f>
              <c:strCache>
                <c:ptCount val="1"/>
                <c:pt idx="0">
                  <c:v>족발야시장_대분류 (무청감자탕 통합)</c:v>
                </c:pt>
              </c:strCache>
            </c:strRef>
          </c:tx>
          <c:spPr>
            <a:solidFill>
              <a:srgbClr val="87a44b"/>
            </a:solidFill>
            <a:ln w="2844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'월별 매출'!$D$4:$L$4</c:f>
              <c:multiLvlStrCache>
                <c:ptCount val="1"/>
                <c:lvl>
                  <c:pt idx="0">
                    <c:v>9월</c:v>
                  </c:pt>
                </c:lvl>
                <c:lvl>
                  <c:pt idx="0">
                    <c:v>8월</c:v>
                  </c:pt>
                </c:lvl>
                <c:lvl>
                  <c:pt idx="0">
                    <c:v>7월</c:v>
                  </c:pt>
                </c:lvl>
                <c:lvl>
                  <c:pt idx="0">
                    <c:v>6월</c:v>
                  </c:pt>
                </c:lvl>
                <c:lvl>
                  <c:pt idx="0">
                    <c:v>5월</c:v>
                  </c:pt>
                </c:lvl>
                <c:lvl>
                  <c:pt idx="0">
                    <c:v>4월</c:v>
                  </c:pt>
                </c:lvl>
                <c:lvl>
                  <c:pt idx="0">
                    <c:v>3월</c:v>
                  </c:pt>
                </c:lvl>
                <c:lvl>
                  <c:pt idx="0">
                    <c:v>2월</c:v>
                  </c:pt>
                </c:lvl>
                <c:lvl>
                  <c:pt idx="0">
                    <c:v>1월</c:v>
                  </c:pt>
                </c:lvl>
              </c:multiLvlStrCache>
            </c:multiLvlStrRef>
          </c:cat>
          <c:val>
            <c:numRef>
              <c:f>'월별 매출'!$D$79:$L$79</c:f>
              <c:numCache>
                <c:formatCode>#,##0;\(#,##0\);\-</c:formatCode>
                <c:ptCount val="9"/>
                <c:pt idx="0">
                  <c:v>1181732322</c:v>
                </c:pt>
                <c:pt idx="1">
                  <c:v>1023130415</c:v>
                </c:pt>
                <c:pt idx="2">
                  <c:v>1085285406</c:v>
                </c:pt>
                <c:pt idx="3">
                  <c:v>1058075953</c:v>
                </c:pt>
                <c:pt idx="4">
                  <c:v>1108701465</c:v>
                </c:pt>
                <c:pt idx="5">
                  <c:v>1029197143</c:v>
                </c:pt>
                <c:pt idx="6">
                  <c:v>1077120533</c:v>
                </c:pt>
                <c:pt idx="7">
                  <c:v>1071672146</c:v>
                </c:pt>
                <c:pt idx="8">
                  <c:v>1033837396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"척척밥상 대코드"</c:f>
              <c:strCache>
                <c:ptCount val="1"/>
                <c:pt idx="0">
                  <c:v>척척밥상 대코드</c:v>
                </c:pt>
              </c:strCache>
            </c:strRef>
          </c:tx>
          <c:spPr>
            <a:solidFill>
              <a:srgbClr val="6f568d"/>
            </a:solidFill>
            <a:ln w="2844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'월별 매출'!$D$4:$L$4</c:f>
              <c:multiLvlStrCache>
                <c:ptCount val="1"/>
                <c:lvl>
                  <c:pt idx="0">
                    <c:v>9월</c:v>
                  </c:pt>
                </c:lvl>
                <c:lvl>
                  <c:pt idx="0">
                    <c:v>8월</c:v>
                  </c:pt>
                </c:lvl>
                <c:lvl>
                  <c:pt idx="0">
                    <c:v>7월</c:v>
                  </c:pt>
                </c:lvl>
                <c:lvl>
                  <c:pt idx="0">
                    <c:v>6월</c:v>
                  </c:pt>
                </c:lvl>
                <c:lvl>
                  <c:pt idx="0">
                    <c:v>5월</c:v>
                  </c:pt>
                </c:lvl>
                <c:lvl>
                  <c:pt idx="0">
                    <c:v>4월</c:v>
                  </c:pt>
                </c:lvl>
                <c:lvl>
                  <c:pt idx="0">
                    <c:v>3월</c:v>
                  </c:pt>
                </c:lvl>
                <c:lvl>
                  <c:pt idx="0">
                    <c:v>2월</c:v>
                  </c:pt>
                </c:lvl>
                <c:lvl>
                  <c:pt idx="0">
                    <c:v>1월</c:v>
                  </c:pt>
                </c:lvl>
              </c:multiLvlStrCache>
            </c:multiLvlStrRef>
          </c:cat>
          <c:val>
            <c:numRef>
              <c:f>'월별 매출'!$D$51:$L$51</c:f>
              <c:numCache>
                <c:formatCode>#,##0;\(#,##0\);\-</c:formatCode>
                <c:ptCount val="9"/>
                <c:pt idx="0">
                  <c:v>1583264040</c:v>
                </c:pt>
                <c:pt idx="1">
                  <c:v>1274558150</c:v>
                </c:pt>
                <c:pt idx="2">
                  <c:v>896773325</c:v>
                </c:pt>
                <c:pt idx="3">
                  <c:v>1525709039</c:v>
                </c:pt>
                <c:pt idx="4">
                  <c:v>1325243130</c:v>
                </c:pt>
                <c:pt idx="5">
                  <c:v>1376600240</c:v>
                </c:pt>
                <c:pt idx="6">
                  <c:v>1522928524</c:v>
                </c:pt>
                <c:pt idx="7">
                  <c:v>1303561540</c:v>
                </c:pt>
                <c:pt idx="8">
                  <c:v>1095470420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"아이센스 (대)"</c:f>
              <c:strCache>
                <c:ptCount val="1"/>
                <c:pt idx="0">
                  <c:v>아이센스 (대)</c:v>
                </c:pt>
              </c:strCache>
            </c:strRef>
          </c:tx>
          <c:spPr>
            <a:solidFill>
              <a:srgbClr val="3d97af"/>
            </a:solidFill>
            <a:ln w="2844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'월별 매출'!$D$4:$L$4</c:f>
              <c:multiLvlStrCache>
                <c:ptCount val="1"/>
                <c:lvl>
                  <c:pt idx="0">
                    <c:v>9월</c:v>
                  </c:pt>
                </c:lvl>
                <c:lvl>
                  <c:pt idx="0">
                    <c:v>8월</c:v>
                  </c:pt>
                </c:lvl>
                <c:lvl>
                  <c:pt idx="0">
                    <c:v>7월</c:v>
                  </c:pt>
                </c:lvl>
                <c:lvl>
                  <c:pt idx="0">
                    <c:v>6월</c:v>
                  </c:pt>
                </c:lvl>
                <c:lvl>
                  <c:pt idx="0">
                    <c:v>5월</c:v>
                  </c:pt>
                </c:lvl>
                <c:lvl>
                  <c:pt idx="0">
                    <c:v>4월</c:v>
                  </c:pt>
                </c:lvl>
                <c:lvl>
                  <c:pt idx="0">
                    <c:v>3월</c:v>
                  </c:pt>
                </c:lvl>
                <c:lvl>
                  <c:pt idx="0">
                    <c:v>2월</c:v>
                  </c:pt>
                </c:lvl>
                <c:lvl>
                  <c:pt idx="0">
                    <c:v>1월</c:v>
                  </c:pt>
                </c:lvl>
              </c:multiLvlStrCache>
            </c:multiLvlStrRef>
          </c:cat>
          <c:val>
            <c:numRef>
              <c:f>'월별 매출'!$D$32:$L$32</c:f>
              <c:numCache>
                <c:formatCode>#,##0;\(#,##0\);\-</c:formatCode>
                <c:ptCount val="9"/>
                <c:pt idx="0">
                  <c:v>1085818047</c:v>
                </c:pt>
                <c:pt idx="1">
                  <c:v>986496126</c:v>
                </c:pt>
                <c:pt idx="2">
                  <c:v>844300927</c:v>
                </c:pt>
                <c:pt idx="3">
                  <c:v>756413765</c:v>
                </c:pt>
                <c:pt idx="4">
                  <c:v>974816313</c:v>
                </c:pt>
                <c:pt idx="5">
                  <c:v>896600011</c:v>
                </c:pt>
                <c:pt idx="6">
                  <c:v>1149347794</c:v>
                </c:pt>
                <c:pt idx="7">
                  <c:v>1085902841</c:v>
                </c:pt>
                <c:pt idx="8">
                  <c:v>923064584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"후참잘 대분류"</c:f>
              <c:strCache>
                <c:ptCount val="1"/>
                <c:pt idx="0">
                  <c:v>후참잘 대분류</c:v>
                </c:pt>
              </c:strCache>
            </c:strRef>
          </c:tx>
          <c:spPr>
            <a:solidFill>
              <a:srgbClr val="db8238"/>
            </a:solidFill>
            <a:ln w="2844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'월별 매출'!$D$4:$L$4</c:f>
              <c:multiLvlStrCache>
                <c:ptCount val="1"/>
                <c:lvl>
                  <c:pt idx="0">
                    <c:v>9월</c:v>
                  </c:pt>
                </c:lvl>
                <c:lvl>
                  <c:pt idx="0">
                    <c:v>8월</c:v>
                  </c:pt>
                </c:lvl>
                <c:lvl>
                  <c:pt idx="0">
                    <c:v>7월</c:v>
                  </c:pt>
                </c:lvl>
                <c:lvl>
                  <c:pt idx="0">
                    <c:v>6월</c:v>
                  </c:pt>
                </c:lvl>
                <c:lvl>
                  <c:pt idx="0">
                    <c:v>5월</c:v>
                  </c:pt>
                </c:lvl>
                <c:lvl>
                  <c:pt idx="0">
                    <c:v>4월</c:v>
                  </c:pt>
                </c:lvl>
                <c:lvl>
                  <c:pt idx="0">
                    <c:v>3월</c:v>
                  </c:pt>
                </c:lvl>
                <c:lvl>
                  <c:pt idx="0">
                    <c:v>2월</c:v>
                  </c:pt>
                </c:lvl>
                <c:lvl>
                  <c:pt idx="0">
                    <c:v>1월</c:v>
                  </c:pt>
                </c:lvl>
              </c:multiLvlStrCache>
            </c:multiLvlStrRef>
          </c:cat>
          <c:val>
            <c:numRef>
              <c:f>'월별 매출'!$D$24:$L$24</c:f>
              <c:numCache>
                <c:formatCode>#,##0;\(#,##0\);\-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20030000</c:v>
                </c:pt>
                <c:pt idx="6">
                  <c:v>43400000</c:v>
                </c:pt>
                <c:pt idx="7">
                  <c:v>43426000</c:v>
                </c:pt>
                <c:pt idx="8">
                  <c:v>43500000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"FR_미스앤미스터"</c:f>
              <c:strCache>
                <c:ptCount val="1"/>
                <c:pt idx="0">
                  <c:v>FR_미스앤미스터</c:v>
                </c:pt>
              </c:strCache>
            </c:strRef>
          </c:tx>
          <c:spPr>
            <a:solidFill>
              <a:srgbClr val="8ea5ca"/>
            </a:solidFill>
            <a:ln w="2844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'월별 매출'!$D$4:$L$4</c:f>
              <c:multiLvlStrCache>
                <c:ptCount val="1"/>
                <c:lvl>
                  <c:pt idx="0">
                    <c:v>9월</c:v>
                  </c:pt>
                </c:lvl>
                <c:lvl>
                  <c:pt idx="0">
                    <c:v>8월</c:v>
                  </c:pt>
                </c:lvl>
                <c:lvl>
                  <c:pt idx="0">
                    <c:v>7월</c:v>
                  </c:pt>
                </c:lvl>
                <c:lvl>
                  <c:pt idx="0">
                    <c:v>6월</c:v>
                  </c:pt>
                </c:lvl>
                <c:lvl>
                  <c:pt idx="0">
                    <c:v>5월</c:v>
                  </c:pt>
                </c:lvl>
                <c:lvl>
                  <c:pt idx="0">
                    <c:v>4월</c:v>
                  </c:pt>
                </c:lvl>
                <c:lvl>
                  <c:pt idx="0">
                    <c:v>3월</c:v>
                  </c:pt>
                </c:lvl>
                <c:lvl>
                  <c:pt idx="0">
                    <c:v>2월</c:v>
                  </c:pt>
                </c:lvl>
                <c:lvl>
                  <c:pt idx="0">
                    <c:v>1월</c:v>
                  </c:pt>
                </c:lvl>
              </c:multiLvlStrCache>
            </c:multiLvlStrRef>
          </c:cat>
          <c:val>
            <c:numRef>
              <c:f>'월별 매출'!$D$97:$L$97</c:f>
              <c:numCache>
                <c:formatCode>#,##0;\(#,##0\);\-</c:formatCode>
                <c:ptCount val="9"/>
                <c:pt idx="0">
                  <c:v>880810048</c:v>
                </c:pt>
                <c:pt idx="1">
                  <c:v>760409436</c:v>
                </c:pt>
                <c:pt idx="2">
                  <c:v>767928463</c:v>
                </c:pt>
                <c:pt idx="3">
                  <c:v>771702989</c:v>
                </c:pt>
                <c:pt idx="4">
                  <c:v>769920644</c:v>
                </c:pt>
                <c:pt idx="5">
                  <c:v>643829443</c:v>
                </c:pt>
                <c:pt idx="6">
                  <c:v>620017574</c:v>
                </c:pt>
                <c:pt idx="7">
                  <c:v>591888056</c:v>
                </c:pt>
                <c:pt idx="8">
                  <c:v>648818993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"달떡볶이 대코드"</c:f>
              <c:strCache>
                <c:ptCount val="1"/>
                <c:pt idx="0">
                  <c:v>달떡볶이 대코드</c:v>
                </c:pt>
              </c:strCache>
            </c:strRef>
          </c:tx>
          <c:spPr>
            <a:solidFill>
              <a:srgbClr val="cc8f8e"/>
            </a:solidFill>
            <a:ln w="2844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'월별 매출'!$D$4:$L$4</c:f>
              <c:multiLvlStrCache>
                <c:ptCount val="1"/>
                <c:lvl>
                  <c:pt idx="0">
                    <c:v>9월</c:v>
                  </c:pt>
                </c:lvl>
                <c:lvl>
                  <c:pt idx="0">
                    <c:v>8월</c:v>
                  </c:pt>
                </c:lvl>
                <c:lvl>
                  <c:pt idx="0">
                    <c:v>7월</c:v>
                  </c:pt>
                </c:lvl>
                <c:lvl>
                  <c:pt idx="0">
                    <c:v>6월</c:v>
                  </c:pt>
                </c:lvl>
                <c:lvl>
                  <c:pt idx="0">
                    <c:v>5월</c:v>
                  </c:pt>
                </c:lvl>
                <c:lvl>
                  <c:pt idx="0">
                    <c:v>4월</c:v>
                  </c:pt>
                </c:lvl>
                <c:lvl>
                  <c:pt idx="0">
                    <c:v>3월</c:v>
                  </c:pt>
                </c:lvl>
                <c:lvl>
                  <c:pt idx="0">
                    <c:v>2월</c:v>
                  </c:pt>
                </c:lvl>
                <c:lvl>
                  <c:pt idx="0">
                    <c:v>1월</c:v>
                  </c:pt>
                </c:lvl>
              </c:multiLvlStrCache>
            </c:multiLvlStrRef>
          </c:cat>
          <c:val>
            <c:numRef>
              <c:f>'월별 매출'!$D$100:$L$100</c:f>
              <c:numCache>
                <c:formatCode>#,##0;\(#,##0\);\-</c:formatCode>
                <c:ptCount val="9"/>
                <c:pt idx="0">
                  <c:v>658767886</c:v>
                </c:pt>
                <c:pt idx="1">
                  <c:v>572651392</c:v>
                </c:pt>
                <c:pt idx="2">
                  <c:v>620788633</c:v>
                </c:pt>
                <c:pt idx="3">
                  <c:v>628361104</c:v>
                </c:pt>
                <c:pt idx="4">
                  <c:v>676771109</c:v>
                </c:pt>
                <c:pt idx="5">
                  <c:v>652199681</c:v>
                </c:pt>
                <c:pt idx="6">
                  <c:v>685437712</c:v>
                </c:pt>
                <c:pt idx="7">
                  <c:v>674432678</c:v>
                </c:pt>
                <c:pt idx="8">
                  <c:v>647505974</c:v>
                </c:pt>
              </c:numCache>
            </c:numRef>
          </c:val>
          <c:smooth val="1"/>
        </c:ser>
        <c:ser>
          <c:idx val="8"/>
          <c:order val="8"/>
          <c:tx>
            <c:strRef>
              <c:f>"치킨플러스 대분류"</c:f>
              <c:strCache>
                <c:ptCount val="1"/>
                <c:pt idx="0">
                  <c:v>치킨플러스 대분류</c:v>
                </c:pt>
              </c:strCache>
            </c:strRef>
          </c:tx>
          <c:spPr>
            <a:solidFill>
              <a:srgbClr val="b3c992"/>
            </a:solidFill>
            <a:ln w="2844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'월별 매출'!$D$4:$L$4</c:f>
              <c:multiLvlStrCache>
                <c:ptCount val="1"/>
                <c:lvl>
                  <c:pt idx="0">
                    <c:v>9월</c:v>
                  </c:pt>
                </c:lvl>
                <c:lvl>
                  <c:pt idx="0">
                    <c:v>8월</c:v>
                  </c:pt>
                </c:lvl>
                <c:lvl>
                  <c:pt idx="0">
                    <c:v>7월</c:v>
                  </c:pt>
                </c:lvl>
                <c:lvl>
                  <c:pt idx="0">
                    <c:v>6월</c:v>
                  </c:pt>
                </c:lvl>
                <c:lvl>
                  <c:pt idx="0">
                    <c:v>5월</c:v>
                  </c:pt>
                </c:lvl>
                <c:lvl>
                  <c:pt idx="0">
                    <c:v>4월</c:v>
                  </c:pt>
                </c:lvl>
                <c:lvl>
                  <c:pt idx="0">
                    <c:v>3월</c:v>
                  </c:pt>
                </c:lvl>
                <c:lvl>
                  <c:pt idx="0">
                    <c:v>2월</c:v>
                  </c:pt>
                </c:lvl>
                <c:lvl>
                  <c:pt idx="0">
                    <c:v>1월</c:v>
                  </c:pt>
                </c:lvl>
              </c:multiLvlStrCache>
            </c:multiLvlStrRef>
          </c:cat>
          <c:val>
            <c:numRef>
              <c:f>'월별 매출'!$D$56:$L$56</c:f>
              <c:numCache>
                <c:formatCode>#,##0;\(#,##0\);\-</c:formatCode>
                <c:ptCount val="9"/>
                <c:pt idx="0">
                  <c:v>829444566</c:v>
                </c:pt>
                <c:pt idx="1">
                  <c:v>745392629</c:v>
                </c:pt>
                <c:pt idx="2">
                  <c:v>784896014</c:v>
                </c:pt>
                <c:pt idx="3">
                  <c:v>834286819</c:v>
                </c:pt>
                <c:pt idx="4">
                  <c:v>877127731</c:v>
                </c:pt>
                <c:pt idx="5">
                  <c:v>758766361</c:v>
                </c:pt>
                <c:pt idx="6">
                  <c:v>825093882</c:v>
                </c:pt>
                <c:pt idx="7">
                  <c:v>787788914</c:v>
                </c:pt>
                <c:pt idx="8">
                  <c:v>647185061</c:v>
                </c:pt>
              </c:numCache>
            </c:numRef>
          </c:val>
          <c:smooth val="1"/>
        </c:ser>
        <c:ser>
          <c:idx val="9"/>
          <c:order val="9"/>
          <c:tx>
            <c:strRef>
              <c:f>"킹콩 대코드"</c:f>
              <c:strCache>
                <c:ptCount val="1"/>
                <c:pt idx="0">
                  <c:v>킹콩 대코드</c:v>
                </c:pt>
              </c:strCache>
            </c:strRef>
          </c:tx>
          <c:spPr>
            <a:solidFill>
              <a:srgbClr val="a596b9"/>
            </a:solidFill>
            <a:ln w="2844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'월별 매출'!$D$4:$L$4</c:f>
              <c:multiLvlStrCache>
                <c:ptCount val="1"/>
                <c:lvl>
                  <c:pt idx="0">
                    <c:v>9월</c:v>
                  </c:pt>
                </c:lvl>
                <c:lvl>
                  <c:pt idx="0">
                    <c:v>8월</c:v>
                  </c:pt>
                </c:lvl>
                <c:lvl>
                  <c:pt idx="0">
                    <c:v>7월</c:v>
                  </c:pt>
                </c:lvl>
                <c:lvl>
                  <c:pt idx="0">
                    <c:v>6월</c:v>
                  </c:pt>
                </c:lvl>
                <c:lvl>
                  <c:pt idx="0">
                    <c:v>5월</c:v>
                  </c:pt>
                </c:lvl>
                <c:lvl>
                  <c:pt idx="0">
                    <c:v>4월</c:v>
                  </c:pt>
                </c:lvl>
                <c:lvl>
                  <c:pt idx="0">
                    <c:v>3월</c:v>
                  </c:pt>
                </c:lvl>
                <c:lvl>
                  <c:pt idx="0">
                    <c:v>2월</c:v>
                  </c:pt>
                </c:lvl>
                <c:lvl>
                  <c:pt idx="0">
                    <c:v>1월</c:v>
                  </c:pt>
                </c:lvl>
              </c:multiLvlStrCache>
            </c:multiLvlStrRef>
          </c:cat>
          <c:val>
            <c:numRef>
              <c:f>'월별 매출'!$D$54:$L$54</c:f>
              <c:numCache>
                <c:formatCode>#,##0;\(#,##0\);\-</c:formatCode>
                <c:ptCount val="9"/>
                <c:pt idx="0">
                  <c:v>680374113</c:v>
                </c:pt>
                <c:pt idx="1">
                  <c:v>561811515</c:v>
                </c:pt>
                <c:pt idx="2">
                  <c:v>584213683</c:v>
                </c:pt>
                <c:pt idx="3">
                  <c:v>600274011</c:v>
                </c:pt>
                <c:pt idx="4">
                  <c:v>580429066</c:v>
                </c:pt>
                <c:pt idx="5">
                  <c:v>546031272</c:v>
                </c:pt>
                <c:pt idx="6">
                  <c:v>548614629</c:v>
                </c:pt>
                <c:pt idx="7">
                  <c:v>533512024</c:v>
                </c:pt>
                <c:pt idx="8">
                  <c:v>537800968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1920210"/>
        <c:axId val="57490036"/>
      </c:lineChart>
      <c:catAx>
        <c:axId val="819202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490036"/>
        <c:crosses val="autoZero"/>
        <c:auto val="1"/>
        <c:lblAlgn val="ctr"/>
        <c:lblOffset val="100"/>
        <c:noMultiLvlLbl val="0"/>
      </c:catAx>
      <c:valAx>
        <c:axId val="574900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,,&quot;백만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9202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상위 5개 걸개처 주간 매출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"역전할머니맥주 대"</c:f>
              <c:strCache>
                <c:ptCount val="1"/>
                <c:pt idx="0">
                  <c:v>역전할머니맥주 대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'주별 매출'!$E$4:$BM$4</c:f>
              <c:multiLvlStrCache>
                <c:ptCount val="1"/>
                <c:lvl>
                  <c:pt idx="0">
                    <c:v>10/12~10/18</c:v>
                  </c:pt>
                </c:lvl>
                <c:lvl>
                  <c:pt idx="0">
                    <c:v>10/05~10/11</c:v>
                  </c:pt>
                </c:lvl>
                <c:lvl>
                  <c:pt idx="0">
                    <c:v>09/28~10/04</c:v>
                  </c:pt>
                </c:lvl>
                <c:lvl>
                  <c:pt idx="0">
                    <c:v>09/21~09/27</c:v>
                  </c:pt>
                </c:lvl>
                <c:lvl>
                  <c:pt idx="0">
                    <c:v>09/14~09/20</c:v>
                  </c:pt>
                </c:lvl>
                <c:lvl>
                  <c:pt idx="0">
                    <c:v>09/07~09/13</c:v>
                  </c:pt>
                </c:lvl>
                <c:lvl>
                  <c:pt idx="0">
                    <c:v>08/31~09/06</c:v>
                  </c:pt>
                </c:lvl>
                <c:lvl>
                  <c:pt idx="0">
                    <c:v>08/24~08/30</c:v>
                  </c:pt>
                </c:lvl>
                <c:lvl>
                  <c:pt idx="0">
                    <c:v>08/17~08/23</c:v>
                  </c:pt>
                </c:lvl>
                <c:lvl>
                  <c:pt idx="0">
                    <c:v>08/10~08/16</c:v>
                  </c:pt>
                </c:lvl>
                <c:lvl>
                  <c:pt idx="0">
                    <c:v>08/03~08/09</c:v>
                  </c:pt>
                </c:lvl>
                <c:lvl>
                  <c:pt idx="0">
                    <c:v>07/27~08/02</c:v>
                  </c:pt>
                </c:lvl>
                <c:lvl>
                  <c:pt idx="0">
                    <c:v>07/20~07/26</c:v>
                  </c:pt>
                </c:lvl>
                <c:lvl>
                  <c:pt idx="0">
                    <c:v>07/13~07/19</c:v>
                  </c:pt>
                </c:lvl>
                <c:lvl>
                  <c:pt idx="0">
                    <c:v>07/06~07/12</c:v>
                  </c:pt>
                </c:lvl>
                <c:lvl>
                  <c:pt idx="0">
                    <c:v>06/29~07/05</c:v>
                  </c:pt>
                </c:lvl>
                <c:lvl>
                  <c:pt idx="0">
                    <c:v>06/22~06/28</c:v>
                  </c:pt>
                </c:lvl>
                <c:lvl>
                  <c:pt idx="0">
                    <c:v>06/15~06/21</c:v>
                  </c:pt>
                </c:lvl>
                <c:lvl>
                  <c:pt idx="0">
                    <c:v>06/08~06/14</c:v>
                  </c:pt>
                </c:lvl>
                <c:lvl>
                  <c:pt idx="0">
                    <c:v>06/01~06/07</c:v>
                  </c:pt>
                </c:lvl>
                <c:lvl>
                  <c:pt idx="0">
                    <c:v>05/25~05/31</c:v>
                  </c:pt>
                </c:lvl>
                <c:lvl>
                  <c:pt idx="0">
                    <c:v>05/18~05/24</c:v>
                  </c:pt>
                </c:lvl>
                <c:lvl>
                  <c:pt idx="0">
                    <c:v>05/11~05/17</c:v>
                  </c:pt>
                </c:lvl>
                <c:lvl>
                  <c:pt idx="0">
                    <c:v>05/04~05/10</c:v>
                  </c:pt>
                </c:lvl>
                <c:lvl>
                  <c:pt idx="0">
                    <c:v>04/27~05/03</c:v>
                  </c:pt>
                </c:lvl>
                <c:lvl>
                  <c:pt idx="0">
                    <c:v>04/20~04/26</c:v>
                  </c:pt>
                </c:lvl>
                <c:lvl>
                  <c:pt idx="0">
                    <c:v>04/13~04/19</c:v>
                  </c:pt>
                </c:lvl>
                <c:lvl>
                  <c:pt idx="0">
                    <c:v>04/06~04/12</c:v>
                  </c:pt>
                </c:lvl>
                <c:lvl>
                  <c:pt idx="0">
                    <c:v>03/30~04/05</c:v>
                  </c:pt>
                </c:lvl>
                <c:lvl>
                  <c:pt idx="0">
                    <c:v>03/23~03/29</c:v>
                  </c:pt>
                </c:lvl>
                <c:lvl>
                  <c:pt idx="0">
                    <c:v>03/16~03/22</c:v>
                  </c:pt>
                </c:lvl>
                <c:lvl>
                  <c:pt idx="0">
                    <c:v>03/09~03/15</c:v>
                  </c:pt>
                </c:lvl>
                <c:lvl>
                  <c:pt idx="0">
                    <c:v>03/02~03/08</c:v>
                  </c:pt>
                </c:lvl>
                <c:lvl>
                  <c:pt idx="0">
                    <c:v>02/23~03/01</c:v>
                  </c:pt>
                </c:lvl>
                <c:lvl>
                  <c:pt idx="0">
                    <c:v>02/16~02/22</c:v>
                  </c:pt>
                </c:lvl>
                <c:lvl>
                  <c:pt idx="0">
                    <c:v>02/09~02/15</c:v>
                  </c:pt>
                </c:lvl>
                <c:lvl>
                  <c:pt idx="0">
                    <c:v>02/02~02/08</c:v>
                  </c:pt>
                </c:lvl>
                <c:lvl>
                  <c:pt idx="0">
                    <c:v>01/26~02/01</c:v>
                  </c:pt>
                </c:lvl>
                <c:lvl>
                  <c:pt idx="0">
                    <c:v>01/19~01/25</c:v>
                  </c:pt>
                </c:lvl>
                <c:lvl>
                  <c:pt idx="0">
                    <c:v>01/12~01/18</c:v>
                  </c:pt>
                </c:lvl>
                <c:lvl>
                  <c:pt idx="0">
                    <c:v>01/05~01/11</c:v>
                  </c:pt>
                </c:lvl>
                <c:lvl>
                  <c:pt idx="0">
                    <c:v>12/29~01/04</c:v>
                  </c:pt>
                </c:lvl>
                <c:lvl>
                  <c:pt idx="0">
                    <c:v>12/22~12/28</c:v>
                  </c:pt>
                </c:lvl>
                <c:lvl>
                  <c:pt idx="0">
                    <c:v>12/15~12/21</c:v>
                  </c:pt>
                </c:lvl>
                <c:lvl>
                  <c:pt idx="0">
                    <c:v>12/08~12/14</c:v>
                  </c:pt>
                </c:lvl>
                <c:lvl>
                  <c:pt idx="0">
                    <c:v>12/01~12/07</c:v>
                  </c:pt>
                </c:lvl>
                <c:lvl>
                  <c:pt idx="0">
                    <c:v>11/24~11/30</c:v>
                  </c:pt>
                </c:lvl>
                <c:lvl>
                  <c:pt idx="0">
                    <c:v>11/17~11/23</c:v>
                  </c:pt>
                </c:lvl>
                <c:lvl>
                  <c:pt idx="0">
                    <c:v>11/10~11/16</c:v>
                  </c:pt>
                </c:lvl>
                <c:lvl>
                  <c:pt idx="0">
                    <c:v>11/03~11/09</c:v>
                  </c:pt>
                </c:lvl>
                <c:lvl>
                  <c:pt idx="0">
                    <c:v>10/27~11/02</c:v>
                  </c:pt>
                </c:lvl>
                <c:lvl>
                  <c:pt idx="0">
                    <c:v>10/20~10/26</c:v>
                  </c:pt>
                </c:lvl>
                <c:lvl>
                  <c:pt idx="0">
                    <c:v>10/13~10/19</c:v>
                  </c:pt>
                </c:lvl>
                <c:lvl>
                  <c:pt idx="0">
                    <c:v>10/06~10/12</c:v>
                  </c:pt>
                </c:lvl>
                <c:lvl>
                  <c:pt idx="0">
                    <c:v>09/29~10/05</c:v>
                  </c:pt>
                </c:lvl>
                <c:lvl>
                  <c:pt idx="0">
                    <c:v>09/22~09/28</c:v>
                  </c:pt>
                </c:lvl>
                <c:lvl>
                  <c:pt idx="0">
                    <c:v>09/15~09/21</c:v>
                  </c:pt>
                </c:lvl>
                <c:lvl>
                  <c:pt idx="0">
                    <c:v>09/08~09/14</c:v>
                  </c:pt>
                </c:lvl>
                <c:lvl>
                  <c:pt idx="0">
                    <c:v>09/01~09/07</c:v>
                  </c:pt>
                </c:lvl>
                <c:lvl>
                  <c:pt idx="0">
                    <c:v>08/25~08/31</c:v>
                  </c:pt>
                </c:lvl>
                <c:lvl>
                  <c:pt idx="0">
                    <c:v>08/18~08/24</c:v>
                  </c:pt>
                </c:lvl>
              </c:multiLvlStrCache>
            </c:multiLvlStrRef>
          </c:cat>
          <c:val>
            <c:numRef>
              <c:f>'주별 매출'!$E$81:$BM$81</c:f>
              <c:numCache>
                <c:formatCode>#,##0;\(#,##0\);\-</c:formatCode>
                <c:ptCount val="61"/>
                <c:pt idx="0">
                  <c:v>1527943857</c:v>
                </c:pt>
                <c:pt idx="1">
                  <c:v>1442181270</c:v>
                </c:pt>
                <c:pt idx="2">
                  <c:v>1583784176</c:v>
                </c:pt>
                <c:pt idx="3">
                  <c:v>1423173024</c:v>
                </c:pt>
                <c:pt idx="4">
                  <c:v>1432465350</c:v>
                </c:pt>
                <c:pt idx="5">
                  <c:v>1430159991</c:v>
                </c:pt>
                <c:pt idx="6">
                  <c:v>2505971598</c:v>
                </c:pt>
                <c:pt idx="7">
                  <c:v>1091501780</c:v>
                </c:pt>
                <c:pt idx="8">
                  <c:v>1168813651</c:v>
                </c:pt>
                <c:pt idx="9">
                  <c:v>1255199159</c:v>
                </c:pt>
                <c:pt idx="10">
                  <c:v>1254390271</c:v>
                </c:pt>
                <c:pt idx="11">
                  <c:v>1358717213</c:v>
                </c:pt>
                <c:pt idx="12">
                  <c:v>1383012620</c:v>
                </c:pt>
                <c:pt idx="13">
                  <c:v>1322853954</c:v>
                </c:pt>
                <c:pt idx="14">
                  <c:v>1280048920</c:v>
                </c:pt>
                <c:pt idx="15">
                  <c:v>1432313389</c:v>
                </c:pt>
                <c:pt idx="16">
                  <c:v>1294198802</c:v>
                </c:pt>
                <c:pt idx="17">
                  <c:v>1419391223</c:v>
                </c:pt>
                <c:pt idx="18">
                  <c:v>1651574676</c:v>
                </c:pt>
                <c:pt idx="19">
                  <c:v>1908011349</c:v>
                </c:pt>
                <c:pt idx="20">
                  <c:v>1809596773</c:v>
                </c:pt>
                <c:pt idx="21">
                  <c:v>1556675904</c:v>
                </c:pt>
                <c:pt idx="22">
                  <c:v>1469835573</c:v>
                </c:pt>
                <c:pt idx="23">
                  <c:v>1347892054</c:v>
                </c:pt>
                <c:pt idx="24">
                  <c:v>1585742691</c:v>
                </c:pt>
                <c:pt idx="25">
                  <c:v>1957121630</c:v>
                </c:pt>
                <c:pt idx="26">
                  <c:v>1426130252</c:v>
                </c:pt>
                <c:pt idx="27">
                  <c:v>1477428203</c:v>
                </c:pt>
                <c:pt idx="28">
                  <c:v>1620073672</c:v>
                </c:pt>
                <c:pt idx="29">
                  <c:v>1441204210</c:v>
                </c:pt>
                <c:pt idx="30">
                  <c:v>1500202900</c:v>
                </c:pt>
                <c:pt idx="31">
                  <c:v>1462327187</c:v>
                </c:pt>
                <c:pt idx="32">
                  <c:v>1450776075</c:v>
                </c:pt>
                <c:pt idx="33">
                  <c:v>1454869400</c:v>
                </c:pt>
                <c:pt idx="34">
                  <c:v>1442086939</c:v>
                </c:pt>
                <c:pt idx="35">
                  <c:v>1400506285</c:v>
                </c:pt>
                <c:pt idx="36">
                  <c:v>1674646946</c:v>
                </c:pt>
                <c:pt idx="37">
                  <c:v>1729472104</c:v>
                </c:pt>
                <c:pt idx="38">
                  <c:v>1508803649</c:v>
                </c:pt>
                <c:pt idx="39">
                  <c:v>1612167303</c:v>
                </c:pt>
                <c:pt idx="40">
                  <c:v>1527458500</c:v>
                </c:pt>
                <c:pt idx="41">
                  <c:v>1805848530</c:v>
                </c:pt>
                <c:pt idx="42">
                  <c:v>1540336432</c:v>
                </c:pt>
                <c:pt idx="43">
                  <c:v>1697729144</c:v>
                </c:pt>
                <c:pt idx="44">
                  <c:v>1683416006</c:v>
                </c:pt>
                <c:pt idx="45">
                  <c:v>1737307487</c:v>
                </c:pt>
                <c:pt idx="46">
                  <c:v>1655481406</c:v>
                </c:pt>
                <c:pt idx="47">
                  <c:v>1860033202</c:v>
                </c:pt>
                <c:pt idx="48">
                  <c:v>1689121301</c:v>
                </c:pt>
                <c:pt idx="49">
                  <c:v>1727505237</c:v>
                </c:pt>
                <c:pt idx="50">
                  <c:v>1942352378</c:v>
                </c:pt>
                <c:pt idx="51">
                  <c:v>1749426457</c:v>
                </c:pt>
                <c:pt idx="52">
                  <c:v>1642344165</c:v>
                </c:pt>
                <c:pt idx="53">
                  <c:v>1582503657</c:v>
                </c:pt>
                <c:pt idx="54">
                  <c:v>1651973590</c:v>
                </c:pt>
                <c:pt idx="55">
                  <c:v>1517138745</c:v>
                </c:pt>
                <c:pt idx="56">
                  <c:v>1663473058</c:v>
                </c:pt>
                <c:pt idx="57">
                  <c:v>1916936167</c:v>
                </c:pt>
                <c:pt idx="58">
                  <c:v>1431535451</c:v>
                </c:pt>
                <c:pt idx="59">
                  <c:v>1576486526</c:v>
                </c:pt>
                <c:pt idx="60">
                  <c:v>1540682457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"준코 대분류"</c:f>
              <c:strCache>
                <c:ptCount val="1"/>
                <c:pt idx="0">
                  <c:v>준코 대분류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'주별 매출'!$E$4:$BM$4</c:f>
              <c:multiLvlStrCache>
                <c:ptCount val="1"/>
                <c:lvl>
                  <c:pt idx="0">
                    <c:v>10/12~10/18</c:v>
                  </c:pt>
                </c:lvl>
                <c:lvl>
                  <c:pt idx="0">
                    <c:v>10/05~10/11</c:v>
                  </c:pt>
                </c:lvl>
                <c:lvl>
                  <c:pt idx="0">
                    <c:v>09/28~10/04</c:v>
                  </c:pt>
                </c:lvl>
                <c:lvl>
                  <c:pt idx="0">
                    <c:v>09/21~09/27</c:v>
                  </c:pt>
                </c:lvl>
                <c:lvl>
                  <c:pt idx="0">
                    <c:v>09/14~09/20</c:v>
                  </c:pt>
                </c:lvl>
                <c:lvl>
                  <c:pt idx="0">
                    <c:v>09/07~09/13</c:v>
                  </c:pt>
                </c:lvl>
                <c:lvl>
                  <c:pt idx="0">
                    <c:v>08/31~09/06</c:v>
                  </c:pt>
                </c:lvl>
                <c:lvl>
                  <c:pt idx="0">
                    <c:v>08/24~08/30</c:v>
                  </c:pt>
                </c:lvl>
                <c:lvl>
                  <c:pt idx="0">
                    <c:v>08/17~08/23</c:v>
                  </c:pt>
                </c:lvl>
                <c:lvl>
                  <c:pt idx="0">
                    <c:v>08/10~08/16</c:v>
                  </c:pt>
                </c:lvl>
                <c:lvl>
                  <c:pt idx="0">
                    <c:v>08/03~08/09</c:v>
                  </c:pt>
                </c:lvl>
                <c:lvl>
                  <c:pt idx="0">
                    <c:v>07/27~08/02</c:v>
                  </c:pt>
                </c:lvl>
                <c:lvl>
                  <c:pt idx="0">
                    <c:v>07/20~07/26</c:v>
                  </c:pt>
                </c:lvl>
                <c:lvl>
                  <c:pt idx="0">
                    <c:v>07/13~07/19</c:v>
                  </c:pt>
                </c:lvl>
                <c:lvl>
                  <c:pt idx="0">
                    <c:v>07/06~07/12</c:v>
                  </c:pt>
                </c:lvl>
                <c:lvl>
                  <c:pt idx="0">
                    <c:v>06/29~07/05</c:v>
                  </c:pt>
                </c:lvl>
                <c:lvl>
                  <c:pt idx="0">
                    <c:v>06/22~06/28</c:v>
                  </c:pt>
                </c:lvl>
                <c:lvl>
                  <c:pt idx="0">
                    <c:v>06/15~06/21</c:v>
                  </c:pt>
                </c:lvl>
                <c:lvl>
                  <c:pt idx="0">
                    <c:v>06/08~06/14</c:v>
                  </c:pt>
                </c:lvl>
                <c:lvl>
                  <c:pt idx="0">
                    <c:v>06/01~06/07</c:v>
                  </c:pt>
                </c:lvl>
                <c:lvl>
                  <c:pt idx="0">
                    <c:v>05/25~05/31</c:v>
                  </c:pt>
                </c:lvl>
                <c:lvl>
                  <c:pt idx="0">
                    <c:v>05/18~05/24</c:v>
                  </c:pt>
                </c:lvl>
                <c:lvl>
                  <c:pt idx="0">
                    <c:v>05/11~05/17</c:v>
                  </c:pt>
                </c:lvl>
                <c:lvl>
                  <c:pt idx="0">
                    <c:v>05/04~05/10</c:v>
                  </c:pt>
                </c:lvl>
                <c:lvl>
                  <c:pt idx="0">
                    <c:v>04/27~05/03</c:v>
                  </c:pt>
                </c:lvl>
                <c:lvl>
                  <c:pt idx="0">
                    <c:v>04/20~04/26</c:v>
                  </c:pt>
                </c:lvl>
                <c:lvl>
                  <c:pt idx="0">
                    <c:v>04/13~04/19</c:v>
                  </c:pt>
                </c:lvl>
                <c:lvl>
                  <c:pt idx="0">
                    <c:v>04/06~04/12</c:v>
                  </c:pt>
                </c:lvl>
                <c:lvl>
                  <c:pt idx="0">
                    <c:v>03/30~04/05</c:v>
                  </c:pt>
                </c:lvl>
                <c:lvl>
                  <c:pt idx="0">
                    <c:v>03/23~03/29</c:v>
                  </c:pt>
                </c:lvl>
                <c:lvl>
                  <c:pt idx="0">
                    <c:v>03/16~03/22</c:v>
                  </c:pt>
                </c:lvl>
                <c:lvl>
                  <c:pt idx="0">
                    <c:v>03/09~03/15</c:v>
                  </c:pt>
                </c:lvl>
                <c:lvl>
                  <c:pt idx="0">
                    <c:v>03/02~03/08</c:v>
                  </c:pt>
                </c:lvl>
                <c:lvl>
                  <c:pt idx="0">
                    <c:v>02/23~03/01</c:v>
                  </c:pt>
                </c:lvl>
                <c:lvl>
                  <c:pt idx="0">
                    <c:v>02/16~02/22</c:v>
                  </c:pt>
                </c:lvl>
                <c:lvl>
                  <c:pt idx="0">
                    <c:v>02/09~02/15</c:v>
                  </c:pt>
                </c:lvl>
                <c:lvl>
                  <c:pt idx="0">
                    <c:v>02/02~02/08</c:v>
                  </c:pt>
                </c:lvl>
                <c:lvl>
                  <c:pt idx="0">
                    <c:v>01/26~02/01</c:v>
                  </c:pt>
                </c:lvl>
                <c:lvl>
                  <c:pt idx="0">
                    <c:v>01/19~01/25</c:v>
                  </c:pt>
                </c:lvl>
                <c:lvl>
                  <c:pt idx="0">
                    <c:v>01/12~01/18</c:v>
                  </c:pt>
                </c:lvl>
                <c:lvl>
                  <c:pt idx="0">
                    <c:v>01/05~01/11</c:v>
                  </c:pt>
                </c:lvl>
                <c:lvl>
                  <c:pt idx="0">
                    <c:v>12/29~01/04</c:v>
                  </c:pt>
                </c:lvl>
                <c:lvl>
                  <c:pt idx="0">
                    <c:v>12/22~12/28</c:v>
                  </c:pt>
                </c:lvl>
                <c:lvl>
                  <c:pt idx="0">
                    <c:v>12/15~12/21</c:v>
                  </c:pt>
                </c:lvl>
                <c:lvl>
                  <c:pt idx="0">
                    <c:v>12/08~12/14</c:v>
                  </c:pt>
                </c:lvl>
                <c:lvl>
                  <c:pt idx="0">
                    <c:v>12/01~12/07</c:v>
                  </c:pt>
                </c:lvl>
                <c:lvl>
                  <c:pt idx="0">
                    <c:v>11/24~11/30</c:v>
                  </c:pt>
                </c:lvl>
                <c:lvl>
                  <c:pt idx="0">
                    <c:v>11/17~11/23</c:v>
                  </c:pt>
                </c:lvl>
                <c:lvl>
                  <c:pt idx="0">
                    <c:v>11/10~11/16</c:v>
                  </c:pt>
                </c:lvl>
                <c:lvl>
                  <c:pt idx="0">
                    <c:v>11/03~11/09</c:v>
                  </c:pt>
                </c:lvl>
                <c:lvl>
                  <c:pt idx="0">
                    <c:v>10/27~11/02</c:v>
                  </c:pt>
                </c:lvl>
                <c:lvl>
                  <c:pt idx="0">
                    <c:v>10/20~10/26</c:v>
                  </c:pt>
                </c:lvl>
                <c:lvl>
                  <c:pt idx="0">
                    <c:v>10/13~10/19</c:v>
                  </c:pt>
                </c:lvl>
                <c:lvl>
                  <c:pt idx="0">
                    <c:v>10/06~10/12</c:v>
                  </c:pt>
                </c:lvl>
                <c:lvl>
                  <c:pt idx="0">
                    <c:v>09/29~10/05</c:v>
                  </c:pt>
                </c:lvl>
                <c:lvl>
                  <c:pt idx="0">
                    <c:v>09/22~09/28</c:v>
                  </c:pt>
                </c:lvl>
                <c:lvl>
                  <c:pt idx="0">
                    <c:v>09/15~09/21</c:v>
                  </c:pt>
                </c:lvl>
                <c:lvl>
                  <c:pt idx="0">
                    <c:v>09/08~09/14</c:v>
                  </c:pt>
                </c:lvl>
                <c:lvl>
                  <c:pt idx="0">
                    <c:v>09/01~09/07</c:v>
                  </c:pt>
                </c:lvl>
                <c:lvl>
                  <c:pt idx="0">
                    <c:v>08/25~08/31</c:v>
                  </c:pt>
                </c:lvl>
                <c:lvl>
                  <c:pt idx="0">
                    <c:v>08/18~08/24</c:v>
                  </c:pt>
                </c:lvl>
              </c:multiLvlStrCache>
            </c:multiLvlStrRef>
          </c:cat>
          <c:val>
            <c:numRef>
              <c:f>'주별 매출'!$E$11:$BM$11</c:f>
              <c:numCache>
                <c:formatCode>#,##0;\(#,##0\);\-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414991385</c:v>
                </c:pt>
                <c:pt idx="29">
                  <c:v>349912210</c:v>
                </c:pt>
                <c:pt idx="30">
                  <c:v>368949432</c:v>
                </c:pt>
                <c:pt idx="31">
                  <c:v>353920730</c:v>
                </c:pt>
                <c:pt idx="32">
                  <c:v>373598572</c:v>
                </c:pt>
                <c:pt idx="33">
                  <c:v>355274613</c:v>
                </c:pt>
                <c:pt idx="34">
                  <c:v>377911983</c:v>
                </c:pt>
                <c:pt idx="35">
                  <c:v>357072638</c:v>
                </c:pt>
                <c:pt idx="36">
                  <c:v>422604677</c:v>
                </c:pt>
                <c:pt idx="37">
                  <c:v>411832895</c:v>
                </c:pt>
                <c:pt idx="38">
                  <c:v>344212700</c:v>
                </c:pt>
                <c:pt idx="39">
                  <c:v>395269053</c:v>
                </c:pt>
                <c:pt idx="40">
                  <c:v>382414064</c:v>
                </c:pt>
                <c:pt idx="41">
                  <c:v>420584300</c:v>
                </c:pt>
                <c:pt idx="42">
                  <c:v>359432683</c:v>
                </c:pt>
                <c:pt idx="43">
                  <c:v>361200967</c:v>
                </c:pt>
                <c:pt idx="44">
                  <c:v>383471483</c:v>
                </c:pt>
                <c:pt idx="45">
                  <c:v>397907998</c:v>
                </c:pt>
                <c:pt idx="46">
                  <c:v>391270165</c:v>
                </c:pt>
                <c:pt idx="47">
                  <c:v>420374674</c:v>
                </c:pt>
                <c:pt idx="48">
                  <c:v>380030577</c:v>
                </c:pt>
                <c:pt idx="49">
                  <c:v>384981842</c:v>
                </c:pt>
                <c:pt idx="50">
                  <c:v>413415835</c:v>
                </c:pt>
                <c:pt idx="51">
                  <c:v>434410369</c:v>
                </c:pt>
                <c:pt idx="52">
                  <c:v>401007557</c:v>
                </c:pt>
                <c:pt idx="53">
                  <c:v>388463347</c:v>
                </c:pt>
                <c:pt idx="54">
                  <c:v>413161362</c:v>
                </c:pt>
                <c:pt idx="55">
                  <c:v>387878468</c:v>
                </c:pt>
                <c:pt idx="56">
                  <c:v>430073352</c:v>
                </c:pt>
                <c:pt idx="57">
                  <c:v>522305203</c:v>
                </c:pt>
                <c:pt idx="58">
                  <c:v>402709820</c:v>
                </c:pt>
                <c:pt idx="59">
                  <c:v>435295118</c:v>
                </c:pt>
                <c:pt idx="60">
                  <c:v>381044155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"족발야시장_대분류 (무청감자탕 통합)"</c:f>
              <c:strCache>
                <c:ptCount val="1"/>
                <c:pt idx="0">
                  <c:v>족발야시장_대분류 (무청감자탕 통합)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'주별 매출'!$E$4:$BM$4</c:f>
              <c:multiLvlStrCache>
                <c:ptCount val="1"/>
                <c:lvl>
                  <c:pt idx="0">
                    <c:v>10/12~10/18</c:v>
                  </c:pt>
                </c:lvl>
                <c:lvl>
                  <c:pt idx="0">
                    <c:v>10/05~10/11</c:v>
                  </c:pt>
                </c:lvl>
                <c:lvl>
                  <c:pt idx="0">
                    <c:v>09/28~10/04</c:v>
                  </c:pt>
                </c:lvl>
                <c:lvl>
                  <c:pt idx="0">
                    <c:v>09/21~09/27</c:v>
                  </c:pt>
                </c:lvl>
                <c:lvl>
                  <c:pt idx="0">
                    <c:v>09/14~09/20</c:v>
                  </c:pt>
                </c:lvl>
                <c:lvl>
                  <c:pt idx="0">
                    <c:v>09/07~09/13</c:v>
                  </c:pt>
                </c:lvl>
                <c:lvl>
                  <c:pt idx="0">
                    <c:v>08/31~09/06</c:v>
                  </c:pt>
                </c:lvl>
                <c:lvl>
                  <c:pt idx="0">
                    <c:v>08/24~08/30</c:v>
                  </c:pt>
                </c:lvl>
                <c:lvl>
                  <c:pt idx="0">
                    <c:v>08/17~08/23</c:v>
                  </c:pt>
                </c:lvl>
                <c:lvl>
                  <c:pt idx="0">
                    <c:v>08/10~08/16</c:v>
                  </c:pt>
                </c:lvl>
                <c:lvl>
                  <c:pt idx="0">
                    <c:v>08/03~08/09</c:v>
                  </c:pt>
                </c:lvl>
                <c:lvl>
                  <c:pt idx="0">
                    <c:v>07/27~08/02</c:v>
                  </c:pt>
                </c:lvl>
                <c:lvl>
                  <c:pt idx="0">
                    <c:v>07/20~07/26</c:v>
                  </c:pt>
                </c:lvl>
                <c:lvl>
                  <c:pt idx="0">
                    <c:v>07/13~07/19</c:v>
                  </c:pt>
                </c:lvl>
                <c:lvl>
                  <c:pt idx="0">
                    <c:v>07/06~07/12</c:v>
                  </c:pt>
                </c:lvl>
                <c:lvl>
                  <c:pt idx="0">
                    <c:v>06/29~07/05</c:v>
                  </c:pt>
                </c:lvl>
                <c:lvl>
                  <c:pt idx="0">
                    <c:v>06/22~06/28</c:v>
                  </c:pt>
                </c:lvl>
                <c:lvl>
                  <c:pt idx="0">
                    <c:v>06/15~06/21</c:v>
                  </c:pt>
                </c:lvl>
                <c:lvl>
                  <c:pt idx="0">
                    <c:v>06/08~06/14</c:v>
                  </c:pt>
                </c:lvl>
                <c:lvl>
                  <c:pt idx="0">
                    <c:v>06/01~06/07</c:v>
                  </c:pt>
                </c:lvl>
                <c:lvl>
                  <c:pt idx="0">
                    <c:v>05/25~05/31</c:v>
                  </c:pt>
                </c:lvl>
                <c:lvl>
                  <c:pt idx="0">
                    <c:v>05/18~05/24</c:v>
                  </c:pt>
                </c:lvl>
                <c:lvl>
                  <c:pt idx="0">
                    <c:v>05/11~05/17</c:v>
                  </c:pt>
                </c:lvl>
                <c:lvl>
                  <c:pt idx="0">
                    <c:v>05/04~05/10</c:v>
                  </c:pt>
                </c:lvl>
                <c:lvl>
                  <c:pt idx="0">
                    <c:v>04/27~05/03</c:v>
                  </c:pt>
                </c:lvl>
                <c:lvl>
                  <c:pt idx="0">
                    <c:v>04/20~04/26</c:v>
                  </c:pt>
                </c:lvl>
                <c:lvl>
                  <c:pt idx="0">
                    <c:v>04/13~04/19</c:v>
                  </c:pt>
                </c:lvl>
                <c:lvl>
                  <c:pt idx="0">
                    <c:v>04/06~04/12</c:v>
                  </c:pt>
                </c:lvl>
                <c:lvl>
                  <c:pt idx="0">
                    <c:v>03/30~04/05</c:v>
                  </c:pt>
                </c:lvl>
                <c:lvl>
                  <c:pt idx="0">
                    <c:v>03/23~03/29</c:v>
                  </c:pt>
                </c:lvl>
                <c:lvl>
                  <c:pt idx="0">
                    <c:v>03/16~03/22</c:v>
                  </c:pt>
                </c:lvl>
                <c:lvl>
                  <c:pt idx="0">
                    <c:v>03/09~03/15</c:v>
                  </c:pt>
                </c:lvl>
                <c:lvl>
                  <c:pt idx="0">
                    <c:v>03/02~03/08</c:v>
                  </c:pt>
                </c:lvl>
                <c:lvl>
                  <c:pt idx="0">
                    <c:v>02/23~03/01</c:v>
                  </c:pt>
                </c:lvl>
                <c:lvl>
                  <c:pt idx="0">
                    <c:v>02/16~02/22</c:v>
                  </c:pt>
                </c:lvl>
                <c:lvl>
                  <c:pt idx="0">
                    <c:v>02/09~02/15</c:v>
                  </c:pt>
                </c:lvl>
                <c:lvl>
                  <c:pt idx="0">
                    <c:v>02/02~02/08</c:v>
                  </c:pt>
                </c:lvl>
                <c:lvl>
                  <c:pt idx="0">
                    <c:v>01/26~02/01</c:v>
                  </c:pt>
                </c:lvl>
                <c:lvl>
                  <c:pt idx="0">
                    <c:v>01/19~01/25</c:v>
                  </c:pt>
                </c:lvl>
                <c:lvl>
                  <c:pt idx="0">
                    <c:v>01/12~01/18</c:v>
                  </c:pt>
                </c:lvl>
                <c:lvl>
                  <c:pt idx="0">
                    <c:v>01/05~01/11</c:v>
                  </c:pt>
                </c:lvl>
                <c:lvl>
                  <c:pt idx="0">
                    <c:v>12/29~01/04</c:v>
                  </c:pt>
                </c:lvl>
                <c:lvl>
                  <c:pt idx="0">
                    <c:v>12/22~12/28</c:v>
                  </c:pt>
                </c:lvl>
                <c:lvl>
                  <c:pt idx="0">
                    <c:v>12/15~12/21</c:v>
                  </c:pt>
                </c:lvl>
                <c:lvl>
                  <c:pt idx="0">
                    <c:v>12/08~12/14</c:v>
                  </c:pt>
                </c:lvl>
                <c:lvl>
                  <c:pt idx="0">
                    <c:v>12/01~12/07</c:v>
                  </c:pt>
                </c:lvl>
                <c:lvl>
                  <c:pt idx="0">
                    <c:v>11/24~11/30</c:v>
                  </c:pt>
                </c:lvl>
                <c:lvl>
                  <c:pt idx="0">
                    <c:v>11/17~11/23</c:v>
                  </c:pt>
                </c:lvl>
                <c:lvl>
                  <c:pt idx="0">
                    <c:v>11/10~11/16</c:v>
                  </c:pt>
                </c:lvl>
                <c:lvl>
                  <c:pt idx="0">
                    <c:v>11/03~11/09</c:v>
                  </c:pt>
                </c:lvl>
                <c:lvl>
                  <c:pt idx="0">
                    <c:v>10/27~11/02</c:v>
                  </c:pt>
                </c:lvl>
                <c:lvl>
                  <c:pt idx="0">
                    <c:v>10/20~10/26</c:v>
                  </c:pt>
                </c:lvl>
                <c:lvl>
                  <c:pt idx="0">
                    <c:v>10/13~10/19</c:v>
                  </c:pt>
                </c:lvl>
                <c:lvl>
                  <c:pt idx="0">
                    <c:v>10/06~10/12</c:v>
                  </c:pt>
                </c:lvl>
                <c:lvl>
                  <c:pt idx="0">
                    <c:v>09/29~10/05</c:v>
                  </c:pt>
                </c:lvl>
                <c:lvl>
                  <c:pt idx="0">
                    <c:v>09/22~09/28</c:v>
                  </c:pt>
                </c:lvl>
                <c:lvl>
                  <c:pt idx="0">
                    <c:v>09/15~09/21</c:v>
                  </c:pt>
                </c:lvl>
                <c:lvl>
                  <c:pt idx="0">
                    <c:v>09/08~09/14</c:v>
                  </c:pt>
                </c:lvl>
                <c:lvl>
                  <c:pt idx="0">
                    <c:v>09/01~09/07</c:v>
                  </c:pt>
                </c:lvl>
                <c:lvl>
                  <c:pt idx="0">
                    <c:v>08/25~08/31</c:v>
                  </c:pt>
                </c:lvl>
                <c:lvl>
                  <c:pt idx="0">
                    <c:v>08/18~08/24</c:v>
                  </c:pt>
                </c:lvl>
              </c:multiLvlStrCache>
            </c:multiLvlStrRef>
          </c:cat>
          <c:val>
            <c:numRef>
              <c:f>'주별 매출'!$E$79:$BM$79</c:f>
              <c:numCache>
                <c:formatCode>#,##0;\(#,##0\);\-</c:formatCode>
                <c:ptCount val="61"/>
                <c:pt idx="0">
                  <c:v>284181038</c:v>
                </c:pt>
                <c:pt idx="1">
                  <c:v>266192213</c:v>
                </c:pt>
                <c:pt idx="2">
                  <c:v>274088125</c:v>
                </c:pt>
                <c:pt idx="3">
                  <c:v>273086732</c:v>
                </c:pt>
                <c:pt idx="4">
                  <c:v>268120463</c:v>
                </c:pt>
                <c:pt idx="5">
                  <c:v>289049182</c:v>
                </c:pt>
                <c:pt idx="6">
                  <c:v>384399094</c:v>
                </c:pt>
                <c:pt idx="7">
                  <c:v>194581910</c:v>
                </c:pt>
                <c:pt idx="8">
                  <c:v>269882111</c:v>
                </c:pt>
                <c:pt idx="9">
                  <c:v>289576156</c:v>
                </c:pt>
                <c:pt idx="10">
                  <c:v>283269980</c:v>
                </c:pt>
                <c:pt idx="11">
                  <c:v>293679055</c:v>
                </c:pt>
                <c:pt idx="12">
                  <c:v>276965490</c:v>
                </c:pt>
                <c:pt idx="13">
                  <c:v>284971446</c:v>
                </c:pt>
                <c:pt idx="14">
                  <c:v>267362213</c:v>
                </c:pt>
                <c:pt idx="15">
                  <c:v>278084163</c:v>
                </c:pt>
                <c:pt idx="16">
                  <c:v>274171440</c:v>
                </c:pt>
                <c:pt idx="17">
                  <c:v>275201256</c:v>
                </c:pt>
                <c:pt idx="18">
                  <c:v>306865200</c:v>
                </c:pt>
                <c:pt idx="19">
                  <c:v>293732354</c:v>
                </c:pt>
                <c:pt idx="20">
                  <c:v>258932095</c:v>
                </c:pt>
                <c:pt idx="21">
                  <c:v>259055928</c:v>
                </c:pt>
                <c:pt idx="22">
                  <c:v>252635045</c:v>
                </c:pt>
                <c:pt idx="23">
                  <c:v>261576358</c:v>
                </c:pt>
                <c:pt idx="24">
                  <c:v>263416061</c:v>
                </c:pt>
                <c:pt idx="25">
                  <c:v>314899318</c:v>
                </c:pt>
                <c:pt idx="26">
                  <c:v>196696464</c:v>
                </c:pt>
                <c:pt idx="27">
                  <c:v>248103409</c:v>
                </c:pt>
                <c:pt idx="28">
                  <c:v>258706602</c:v>
                </c:pt>
                <c:pt idx="29">
                  <c:v>253167115</c:v>
                </c:pt>
                <c:pt idx="30">
                  <c:v>255866562</c:v>
                </c:pt>
                <c:pt idx="31">
                  <c:v>249286463</c:v>
                </c:pt>
                <c:pt idx="32">
                  <c:v>248113979</c:v>
                </c:pt>
                <c:pt idx="33">
                  <c:v>255642749</c:v>
                </c:pt>
                <c:pt idx="34">
                  <c:v>238847547</c:v>
                </c:pt>
                <c:pt idx="35">
                  <c:v>241510321</c:v>
                </c:pt>
                <c:pt idx="36">
                  <c:v>250302470</c:v>
                </c:pt>
                <c:pt idx="37">
                  <c:v>250910212</c:v>
                </c:pt>
                <c:pt idx="38">
                  <c:v>246896312</c:v>
                </c:pt>
                <c:pt idx="39">
                  <c:v>258928563</c:v>
                </c:pt>
                <c:pt idx="40">
                  <c:v>243869334</c:v>
                </c:pt>
                <c:pt idx="41">
                  <c:v>249126878</c:v>
                </c:pt>
                <c:pt idx="42">
                  <c:v>224877787</c:v>
                </c:pt>
                <c:pt idx="43">
                  <c:v>239641567</c:v>
                </c:pt>
                <c:pt idx="44">
                  <c:v>247282682</c:v>
                </c:pt>
                <c:pt idx="45">
                  <c:v>246693897</c:v>
                </c:pt>
                <c:pt idx="46">
                  <c:v>243356457</c:v>
                </c:pt>
                <c:pt idx="47">
                  <c:v>235003761</c:v>
                </c:pt>
                <c:pt idx="48">
                  <c:v>232666455</c:v>
                </c:pt>
                <c:pt idx="49">
                  <c:v>239298318</c:v>
                </c:pt>
                <c:pt idx="50">
                  <c:v>262955255</c:v>
                </c:pt>
                <c:pt idx="51">
                  <c:v>254525410</c:v>
                </c:pt>
                <c:pt idx="52">
                  <c:v>233319869</c:v>
                </c:pt>
                <c:pt idx="53">
                  <c:v>236096234</c:v>
                </c:pt>
                <c:pt idx="54">
                  <c:v>236919618</c:v>
                </c:pt>
                <c:pt idx="55">
                  <c:v>245483326</c:v>
                </c:pt>
                <c:pt idx="56">
                  <c:v>248616848</c:v>
                </c:pt>
                <c:pt idx="57">
                  <c:v>247136198</c:v>
                </c:pt>
                <c:pt idx="58">
                  <c:v>207122654</c:v>
                </c:pt>
                <c:pt idx="59">
                  <c:v>236231115</c:v>
                </c:pt>
                <c:pt idx="60">
                  <c:v>223985928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"척척밥상 대코드"</c:f>
              <c:strCache>
                <c:ptCount val="1"/>
                <c:pt idx="0">
                  <c:v>척척밥상 대코드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'주별 매출'!$E$4:$BM$4</c:f>
              <c:multiLvlStrCache>
                <c:ptCount val="1"/>
                <c:lvl>
                  <c:pt idx="0">
                    <c:v>10/12~10/18</c:v>
                  </c:pt>
                </c:lvl>
                <c:lvl>
                  <c:pt idx="0">
                    <c:v>10/05~10/11</c:v>
                  </c:pt>
                </c:lvl>
                <c:lvl>
                  <c:pt idx="0">
                    <c:v>09/28~10/04</c:v>
                  </c:pt>
                </c:lvl>
                <c:lvl>
                  <c:pt idx="0">
                    <c:v>09/21~09/27</c:v>
                  </c:pt>
                </c:lvl>
                <c:lvl>
                  <c:pt idx="0">
                    <c:v>09/14~09/20</c:v>
                  </c:pt>
                </c:lvl>
                <c:lvl>
                  <c:pt idx="0">
                    <c:v>09/07~09/13</c:v>
                  </c:pt>
                </c:lvl>
                <c:lvl>
                  <c:pt idx="0">
                    <c:v>08/31~09/06</c:v>
                  </c:pt>
                </c:lvl>
                <c:lvl>
                  <c:pt idx="0">
                    <c:v>08/24~08/30</c:v>
                  </c:pt>
                </c:lvl>
                <c:lvl>
                  <c:pt idx="0">
                    <c:v>08/17~08/23</c:v>
                  </c:pt>
                </c:lvl>
                <c:lvl>
                  <c:pt idx="0">
                    <c:v>08/10~08/16</c:v>
                  </c:pt>
                </c:lvl>
                <c:lvl>
                  <c:pt idx="0">
                    <c:v>08/03~08/09</c:v>
                  </c:pt>
                </c:lvl>
                <c:lvl>
                  <c:pt idx="0">
                    <c:v>07/27~08/02</c:v>
                  </c:pt>
                </c:lvl>
                <c:lvl>
                  <c:pt idx="0">
                    <c:v>07/20~07/26</c:v>
                  </c:pt>
                </c:lvl>
                <c:lvl>
                  <c:pt idx="0">
                    <c:v>07/13~07/19</c:v>
                  </c:pt>
                </c:lvl>
                <c:lvl>
                  <c:pt idx="0">
                    <c:v>07/06~07/12</c:v>
                  </c:pt>
                </c:lvl>
                <c:lvl>
                  <c:pt idx="0">
                    <c:v>06/29~07/05</c:v>
                  </c:pt>
                </c:lvl>
                <c:lvl>
                  <c:pt idx="0">
                    <c:v>06/22~06/28</c:v>
                  </c:pt>
                </c:lvl>
                <c:lvl>
                  <c:pt idx="0">
                    <c:v>06/15~06/21</c:v>
                  </c:pt>
                </c:lvl>
                <c:lvl>
                  <c:pt idx="0">
                    <c:v>06/08~06/14</c:v>
                  </c:pt>
                </c:lvl>
                <c:lvl>
                  <c:pt idx="0">
                    <c:v>06/01~06/07</c:v>
                  </c:pt>
                </c:lvl>
                <c:lvl>
                  <c:pt idx="0">
                    <c:v>05/25~05/31</c:v>
                  </c:pt>
                </c:lvl>
                <c:lvl>
                  <c:pt idx="0">
                    <c:v>05/18~05/24</c:v>
                  </c:pt>
                </c:lvl>
                <c:lvl>
                  <c:pt idx="0">
                    <c:v>05/11~05/17</c:v>
                  </c:pt>
                </c:lvl>
                <c:lvl>
                  <c:pt idx="0">
                    <c:v>05/04~05/10</c:v>
                  </c:pt>
                </c:lvl>
                <c:lvl>
                  <c:pt idx="0">
                    <c:v>04/27~05/03</c:v>
                  </c:pt>
                </c:lvl>
                <c:lvl>
                  <c:pt idx="0">
                    <c:v>04/20~04/26</c:v>
                  </c:pt>
                </c:lvl>
                <c:lvl>
                  <c:pt idx="0">
                    <c:v>04/13~04/19</c:v>
                  </c:pt>
                </c:lvl>
                <c:lvl>
                  <c:pt idx="0">
                    <c:v>04/06~04/12</c:v>
                  </c:pt>
                </c:lvl>
                <c:lvl>
                  <c:pt idx="0">
                    <c:v>03/30~04/05</c:v>
                  </c:pt>
                </c:lvl>
                <c:lvl>
                  <c:pt idx="0">
                    <c:v>03/23~03/29</c:v>
                  </c:pt>
                </c:lvl>
                <c:lvl>
                  <c:pt idx="0">
                    <c:v>03/16~03/22</c:v>
                  </c:pt>
                </c:lvl>
                <c:lvl>
                  <c:pt idx="0">
                    <c:v>03/09~03/15</c:v>
                  </c:pt>
                </c:lvl>
                <c:lvl>
                  <c:pt idx="0">
                    <c:v>03/02~03/08</c:v>
                  </c:pt>
                </c:lvl>
                <c:lvl>
                  <c:pt idx="0">
                    <c:v>02/23~03/01</c:v>
                  </c:pt>
                </c:lvl>
                <c:lvl>
                  <c:pt idx="0">
                    <c:v>02/16~02/22</c:v>
                  </c:pt>
                </c:lvl>
                <c:lvl>
                  <c:pt idx="0">
                    <c:v>02/09~02/15</c:v>
                  </c:pt>
                </c:lvl>
                <c:lvl>
                  <c:pt idx="0">
                    <c:v>02/02~02/08</c:v>
                  </c:pt>
                </c:lvl>
                <c:lvl>
                  <c:pt idx="0">
                    <c:v>01/26~02/01</c:v>
                  </c:pt>
                </c:lvl>
                <c:lvl>
                  <c:pt idx="0">
                    <c:v>01/19~01/25</c:v>
                  </c:pt>
                </c:lvl>
                <c:lvl>
                  <c:pt idx="0">
                    <c:v>01/12~01/18</c:v>
                  </c:pt>
                </c:lvl>
                <c:lvl>
                  <c:pt idx="0">
                    <c:v>01/05~01/11</c:v>
                  </c:pt>
                </c:lvl>
                <c:lvl>
                  <c:pt idx="0">
                    <c:v>12/29~01/04</c:v>
                  </c:pt>
                </c:lvl>
                <c:lvl>
                  <c:pt idx="0">
                    <c:v>12/22~12/28</c:v>
                  </c:pt>
                </c:lvl>
                <c:lvl>
                  <c:pt idx="0">
                    <c:v>12/15~12/21</c:v>
                  </c:pt>
                </c:lvl>
                <c:lvl>
                  <c:pt idx="0">
                    <c:v>12/08~12/14</c:v>
                  </c:pt>
                </c:lvl>
                <c:lvl>
                  <c:pt idx="0">
                    <c:v>12/01~12/07</c:v>
                  </c:pt>
                </c:lvl>
                <c:lvl>
                  <c:pt idx="0">
                    <c:v>11/24~11/30</c:v>
                  </c:pt>
                </c:lvl>
                <c:lvl>
                  <c:pt idx="0">
                    <c:v>11/17~11/23</c:v>
                  </c:pt>
                </c:lvl>
                <c:lvl>
                  <c:pt idx="0">
                    <c:v>11/10~11/16</c:v>
                  </c:pt>
                </c:lvl>
                <c:lvl>
                  <c:pt idx="0">
                    <c:v>11/03~11/09</c:v>
                  </c:pt>
                </c:lvl>
                <c:lvl>
                  <c:pt idx="0">
                    <c:v>10/27~11/02</c:v>
                  </c:pt>
                </c:lvl>
                <c:lvl>
                  <c:pt idx="0">
                    <c:v>10/20~10/26</c:v>
                  </c:pt>
                </c:lvl>
                <c:lvl>
                  <c:pt idx="0">
                    <c:v>10/13~10/19</c:v>
                  </c:pt>
                </c:lvl>
                <c:lvl>
                  <c:pt idx="0">
                    <c:v>10/06~10/12</c:v>
                  </c:pt>
                </c:lvl>
                <c:lvl>
                  <c:pt idx="0">
                    <c:v>09/29~10/05</c:v>
                  </c:pt>
                </c:lvl>
                <c:lvl>
                  <c:pt idx="0">
                    <c:v>09/22~09/28</c:v>
                  </c:pt>
                </c:lvl>
                <c:lvl>
                  <c:pt idx="0">
                    <c:v>09/15~09/21</c:v>
                  </c:pt>
                </c:lvl>
                <c:lvl>
                  <c:pt idx="0">
                    <c:v>09/08~09/14</c:v>
                  </c:pt>
                </c:lvl>
                <c:lvl>
                  <c:pt idx="0">
                    <c:v>09/01~09/07</c:v>
                  </c:pt>
                </c:lvl>
                <c:lvl>
                  <c:pt idx="0">
                    <c:v>08/25~08/31</c:v>
                  </c:pt>
                </c:lvl>
                <c:lvl>
                  <c:pt idx="0">
                    <c:v>08/18~08/24</c:v>
                  </c:pt>
                </c:lvl>
              </c:multiLvlStrCache>
            </c:multiLvlStrRef>
          </c:cat>
          <c:val>
            <c:numRef>
              <c:f>'주별 매출'!$E$51:$BM$51</c:f>
              <c:numCache>
                <c:formatCode>#,##0;\(#,##0\);\-</c:formatCode>
                <c:ptCount val="61"/>
                <c:pt idx="0">
                  <c:v>0</c:v>
                </c:pt>
                <c:pt idx="1">
                  <c:v>166010390</c:v>
                </c:pt>
                <c:pt idx="2">
                  <c:v>320298400</c:v>
                </c:pt>
                <c:pt idx="3">
                  <c:v>342751920</c:v>
                </c:pt>
                <c:pt idx="4">
                  <c:v>245577210</c:v>
                </c:pt>
                <c:pt idx="5">
                  <c:v>300732100</c:v>
                </c:pt>
                <c:pt idx="6">
                  <c:v>306128580</c:v>
                </c:pt>
                <c:pt idx="7">
                  <c:v>80201420</c:v>
                </c:pt>
                <c:pt idx="8">
                  <c:v>306720930</c:v>
                </c:pt>
                <c:pt idx="9">
                  <c:v>371410702</c:v>
                </c:pt>
                <c:pt idx="10">
                  <c:v>372450300</c:v>
                </c:pt>
                <c:pt idx="11">
                  <c:v>289738150</c:v>
                </c:pt>
                <c:pt idx="12">
                  <c:v>235324441</c:v>
                </c:pt>
                <c:pt idx="13">
                  <c:v>324783900</c:v>
                </c:pt>
                <c:pt idx="14">
                  <c:v>387847690</c:v>
                </c:pt>
                <c:pt idx="15">
                  <c:v>204859590</c:v>
                </c:pt>
                <c:pt idx="16">
                  <c:v>345520740</c:v>
                </c:pt>
                <c:pt idx="17">
                  <c:v>431743310</c:v>
                </c:pt>
                <c:pt idx="18">
                  <c:v>367557150</c:v>
                </c:pt>
                <c:pt idx="19">
                  <c:v>303083530</c:v>
                </c:pt>
                <c:pt idx="20">
                  <c:v>269896180</c:v>
                </c:pt>
                <c:pt idx="21">
                  <c:v>364475050</c:v>
                </c:pt>
                <c:pt idx="22">
                  <c:v>448467940</c:v>
                </c:pt>
                <c:pt idx="23">
                  <c:v>349229780</c:v>
                </c:pt>
                <c:pt idx="24">
                  <c:v>411053730</c:v>
                </c:pt>
                <c:pt idx="25">
                  <c:v>302749220</c:v>
                </c:pt>
                <c:pt idx="26">
                  <c:v>46433870</c:v>
                </c:pt>
                <c:pt idx="27">
                  <c:v>514468090</c:v>
                </c:pt>
                <c:pt idx="28">
                  <c:v>189275440</c:v>
                </c:pt>
                <c:pt idx="29">
                  <c:v>199994990</c:v>
                </c:pt>
                <c:pt idx="30">
                  <c:v>200299835</c:v>
                </c:pt>
                <c:pt idx="31">
                  <c:v>231685410</c:v>
                </c:pt>
                <c:pt idx="32">
                  <c:v>297311630</c:v>
                </c:pt>
                <c:pt idx="33">
                  <c:v>405481390</c:v>
                </c:pt>
                <c:pt idx="34">
                  <c:v>306097390</c:v>
                </c:pt>
                <c:pt idx="35">
                  <c:v>275503780</c:v>
                </c:pt>
                <c:pt idx="36">
                  <c:v>362242319</c:v>
                </c:pt>
                <c:pt idx="37">
                  <c:v>208181640</c:v>
                </c:pt>
                <c:pt idx="38">
                  <c:v>422023900</c:v>
                </c:pt>
                <c:pt idx="39">
                  <c:v>367212270</c:v>
                </c:pt>
                <c:pt idx="40">
                  <c:v>291273020</c:v>
                </c:pt>
                <c:pt idx="41">
                  <c:v>371959780</c:v>
                </c:pt>
                <c:pt idx="42">
                  <c:v>298941840</c:v>
                </c:pt>
                <c:pt idx="43">
                  <c:v>319554670</c:v>
                </c:pt>
                <c:pt idx="44">
                  <c:v>329361950</c:v>
                </c:pt>
                <c:pt idx="45">
                  <c:v>261107840</c:v>
                </c:pt>
                <c:pt idx="46">
                  <c:v>368430100</c:v>
                </c:pt>
                <c:pt idx="47">
                  <c:v>284513770</c:v>
                </c:pt>
                <c:pt idx="48">
                  <c:v>367955024</c:v>
                </c:pt>
                <c:pt idx="49">
                  <c:v>316958680</c:v>
                </c:pt>
                <c:pt idx="50">
                  <c:v>207262090</c:v>
                </c:pt>
                <c:pt idx="51">
                  <c:v>338060280</c:v>
                </c:pt>
                <c:pt idx="52">
                  <c:v>381438880</c:v>
                </c:pt>
                <c:pt idx="53">
                  <c:v>356690270</c:v>
                </c:pt>
                <c:pt idx="54">
                  <c:v>373968290</c:v>
                </c:pt>
                <c:pt idx="55">
                  <c:v>305087120</c:v>
                </c:pt>
                <c:pt idx="56">
                  <c:v>250588690</c:v>
                </c:pt>
                <c:pt idx="57">
                  <c:v>44998740</c:v>
                </c:pt>
                <c:pt idx="58">
                  <c:v>243401240</c:v>
                </c:pt>
                <c:pt idx="59">
                  <c:v>303188590</c:v>
                </c:pt>
                <c:pt idx="60">
                  <c:v>317159870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"아이센스 (대)"</c:f>
              <c:strCache>
                <c:ptCount val="1"/>
                <c:pt idx="0">
                  <c:v>아이센스 (대)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'주별 매출'!$E$4:$BM$4</c:f>
              <c:multiLvlStrCache>
                <c:ptCount val="1"/>
                <c:lvl>
                  <c:pt idx="0">
                    <c:v>10/12~10/18</c:v>
                  </c:pt>
                </c:lvl>
                <c:lvl>
                  <c:pt idx="0">
                    <c:v>10/05~10/11</c:v>
                  </c:pt>
                </c:lvl>
                <c:lvl>
                  <c:pt idx="0">
                    <c:v>09/28~10/04</c:v>
                  </c:pt>
                </c:lvl>
                <c:lvl>
                  <c:pt idx="0">
                    <c:v>09/21~09/27</c:v>
                  </c:pt>
                </c:lvl>
                <c:lvl>
                  <c:pt idx="0">
                    <c:v>09/14~09/20</c:v>
                  </c:pt>
                </c:lvl>
                <c:lvl>
                  <c:pt idx="0">
                    <c:v>09/07~09/13</c:v>
                  </c:pt>
                </c:lvl>
                <c:lvl>
                  <c:pt idx="0">
                    <c:v>08/31~09/06</c:v>
                  </c:pt>
                </c:lvl>
                <c:lvl>
                  <c:pt idx="0">
                    <c:v>08/24~08/30</c:v>
                  </c:pt>
                </c:lvl>
                <c:lvl>
                  <c:pt idx="0">
                    <c:v>08/17~08/23</c:v>
                  </c:pt>
                </c:lvl>
                <c:lvl>
                  <c:pt idx="0">
                    <c:v>08/10~08/16</c:v>
                  </c:pt>
                </c:lvl>
                <c:lvl>
                  <c:pt idx="0">
                    <c:v>08/03~08/09</c:v>
                  </c:pt>
                </c:lvl>
                <c:lvl>
                  <c:pt idx="0">
                    <c:v>07/27~08/02</c:v>
                  </c:pt>
                </c:lvl>
                <c:lvl>
                  <c:pt idx="0">
                    <c:v>07/20~07/26</c:v>
                  </c:pt>
                </c:lvl>
                <c:lvl>
                  <c:pt idx="0">
                    <c:v>07/13~07/19</c:v>
                  </c:pt>
                </c:lvl>
                <c:lvl>
                  <c:pt idx="0">
                    <c:v>07/06~07/12</c:v>
                  </c:pt>
                </c:lvl>
                <c:lvl>
                  <c:pt idx="0">
                    <c:v>06/29~07/05</c:v>
                  </c:pt>
                </c:lvl>
                <c:lvl>
                  <c:pt idx="0">
                    <c:v>06/22~06/28</c:v>
                  </c:pt>
                </c:lvl>
                <c:lvl>
                  <c:pt idx="0">
                    <c:v>06/15~06/21</c:v>
                  </c:pt>
                </c:lvl>
                <c:lvl>
                  <c:pt idx="0">
                    <c:v>06/08~06/14</c:v>
                  </c:pt>
                </c:lvl>
                <c:lvl>
                  <c:pt idx="0">
                    <c:v>06/01~06/07</c:v>
                  </c:pt>
                </c:lvl>
                <c:lvl>
                  <c:pt idx="0">
                    <c:v>05/25~05/31</c:v>
                  </c:pt>
                </c:lvl>
                <c:lvl>
                  <c:pt idx="0">
                    <c:v>05/18~05/24</c:v>
                  </c:pt>
                </c:lvl>
                <c:lvl>
                  <c:pt idx="0">
                    <c:v>05/11~05/17</c:v>
                  </c:pt>
                </c:lvl>
                <c:lvl>
                  <c:pt idx="0">
                    <c:v>05/04~05/10</c:v>
                  </c:pt>
                </c:lvl>
                <c:lvl>
                  <c:pt idx="0">
                    <c:v>04/27~05/03</c:v>
                  </c:pt>
                </c:lvl>
                <c:lvl>
                  <c:pt idx="0">
                    <c:v>04/20~04/26</c:v>
                  </c:pt>
                </c:lvl>
                <c:lvl>
                  <c:pt idx="0">
                    <c:v>04/13~04/19</c:v>
                  </c:pt>
                </c:lvl>
                <c:lvl>
                  <c:pt idx="0">
                    <c:v>04/06~04/12</c:v>
                  </c:pt>
                </c:lvl>
                <c:lvl>
                  <c:pt idx="0">
                    <c:v>03/30~04/05</c:v>
                  </c:pt>
                </c:lvl>
                <c:lvl>
                  <c:pt idx="0">
                    <c:v>03/23~03/29</c:v>
                  </c:pt>
                </c:lvl>
                <c:lvl>
                  <c:pt idx="0">
                    <c:v>03/16~03/22</c:v>
                  </c:pt>
                </c:lvl>
                <c:lvl>
                  <c:pt idx="0">
                    <c:v>03/09~03/15</c:v>
                  </c:pt>
                </c:lvl>
                <c:lvl>
                  <c:pt idx="0">
                    <c:v>03/02~03/08</c:v>
                  </c:pt>
                </c:lvl>
                <c:lvl>
                  <c:pt idx="0">
                    <c:v>02/23~03/01</c:v>
                  </c:pt>
                </c:lvl>
                <c:lvl>
                  <c:pt idx="0">
                    <c:v>02/16~02/22</c:v>
                  </c:pt>
                </c:lvl>
                <c:lvl>
                  <c:pt idx="0">
                    <c:v>02/09~02/15</c:v>
                  </c:pt>
                </c:lvl>
                <c:lvl>
                  <c:pt idx="0">
                    <c:v>02/02~02/08</c:v>
                  </c:pt>
                </c:lvl>
                <c:lvl>
                  <c:pt idx="0">
                    <c:v>01/26~02/01</c:v>
                  </c:pt>
                </c:lvl>
                <c:lvl>
                  <c:pt idx="0">
                    <c:v>01/19~01/25</c:v>
                  </c:pt>
                </c:lvl>
                <c:lvl>
                  <c:pt idx="0">
                    <c:v>01/12~01/18</c:v>
                  </c:pt>
                </c:lvl>
                <c:lvl>
                  <c:pt idx="0">
                    <c:v>01/05~01/11</c:v>
                  </c:pt>
                </c:lvl>
                <c:lvl>
                  <c:pt idx="0">
                    <c:v>12/29~01/04</c:v>
                  </c:pt>
                </c:lvl>
                <c:lvl>
                  <c:pt idx="0">
                    <c:v>12/22~12/28</c:v>
                  </c:pt>
                </c:lvl>
                <c:lvl>
                  <c:pt idx="0">
                    <c:v>12/15~12/21</c:v>
                  </c:pt>
                </c:lvl>
                <c:lvl>
                  <c:pt idx="0">
                    <c:v>12/08~12/14</c:v>
                  </c:pt>
                </c:lvl>
                <c:lvl>
                  <c:pt idx="0">
                    <c:v>12/01~12/07</c:v>
                  </c:pt>
                </c:lvl>
                <c:lvl>
                  <c:pt idx="0">
                    <c:v>11/24~11/30</c:v>
                  </c:pt>
                </c:lvl>
                <c:lvl>
                  <c:pt idx="0">
                    <c:v>11/17~11/23</c:v>
                  </c:pt>
                </c:lvl>
                <c:lvl>
                  <c:pt idx="0">
                    <c:v>11/10~11/16</c:v>
                  </c:pt>
                </c:lvl>
                <c:lvl>
                  <c:pt idx="0">
                    <c:v>11/03~11/09</c:v>
                  </c:pt>
                </c:lvl>
                <c:lvl>
                  <c:pt idx="0">
                    <c:v>10/27~11/02</c:v>
                  </c:pt>
                </c:lvl>
                <c:lvl>
                  <c:pt idx="0">
                    <c:v>10/20~10/26</c:v>
                  </c:pt>
                </c:lvl>
                <c:lvl>
                  <c:pt idx="0">
                    <c:v>10/13~10/19</c:v>
                  </c:pt>
                </c:lvl>
                <c:lvl>
                  <c:pt idx="0">
                    <c:v>10/06~10/12</c:v>
                  </c:pt>
                </c:lvl>
                <c:lvl>
                  <c:pt idx="0">
                    <c:v>09/29~10/05</c:v>
                  </c:pt>
                </c:lvl>
                <c:lvl>
                  <c:pt idx="0">
                    <c:v>09/22~09/28</c:v>
                  </c:pt>
                </c:lvl>
                <c:lvl>
                  <c:pt idx="0">
                    <c:v>09/15~09/21</c:v>
                  </c:pt>
                </c:lvl>
                <c:lvl>
                  <c:pt idx="0">
                    <c:v>09/08~09/14</c:v>
                  </c:pt>
                </c:lvl>
                <c:lvl>
                  <c:pt idx="0">
                    <c:v>09/01~09/07</c:v>
                  </c:pt>
                </c:lvl>
                <c:lvl>
                  <c:pt idx="0">
                    <c:v>08/25~08/31</c:v>
                  </c:pt>
                </c:lvl>
                <c:lvl>
                  <c:pt idx="0">
                    <c:v>08/18~08/24</c:v>
                  </c:pt>
                </c:lvl>
              </c:multiLvlStrCache>
            </c:multiLvlStrRef>
          </c:cat>
          <c:val>
            <c:numRef>
              <c:f>'주별 매출'!$E$32:$BM$32</c:f>
              <c:numCache>
                <c:formatCode>#,##0;\(#,##0\);\-</c:formatCode>
                <c:ptCount val="61"/>
                <c:pt idx="0">
                  <c:v>223639736</c:v>
                </c:pt>
                <c:pt idx="1">
                  <c:v>221207506</c:v>
                </c:pt>
                <c:pt idx="2">
                  <c:v>225939534</c:v>
                </c:pt>
                <c:pt idx="3">
                  <c:v>215546921</c:v>
                </c:pt>
                <c:pt idx="4">
                  <c:v>210327382</c:v>
                </c:pt>
                <c:pt idx="5">
                  <c:v>216047204</c:v>
                </c:pt>
                <c:pt idx="6">
                  <c:v>368445544</c:v>
                </c:pt>
                <c:pt idx="7">
                  <c:v>178901378</c:v>
                </c:pt>
                <c:pt idx="8">
                  <c:v>188069686</c:v>
                </c:pt>
                <c:pt idx="9">
                  <c:v>186413505</c:v>
                </c:pt>
                <c:pt idx="10">
                  <c:v>197622197</c:v>
                </c:pt>
                <c:pt idx="11">
                  <c:v>187277989</c:v>
                </c:pt>
                <c:pt idx="12">
                  <c:v>206228436</c:v>
                </c:pt>
                <c:pt idx="13">
                  <c:v>198495961</c:v>
                </c:pt>
                <c:pt idx="14">
                  <c:v>201505876</c:v>
                </c:pt>
                <c:pt idx="15">
                  <c:v>207616784</c:v>
                </c:pt>
                <c:pt idx="16">
                  <c:v>199621197</c:v>
                </c:pt>
                <c:pt idx="17">
                  <c:v>228880899</c:v>
                </c:pt>
                <c:pt idx="18">
                  <c:v>274638298</c:v>
                </c:pt>
                <c:pt idx="19">
                  <c:v>281107128</c:v>
                </c:pt>
                <c:pt idx="20">
                  <c:v>257028652</c:v>
                </c:pt>
                <c:pt idx="21">
                  <c:v>239648853</c:v>
                </c:pt>
                <c:pt idx="22">
                  <c:v>223105929</c:v>
                </c:pt>
                <c:pt idx="23">
                  <c:v>229253097</c:v>
                </c:pt>
                <c:pt idx="24">
                  <c:v>231668601</c:v>
                </c:pt>
                <c:pt idx="25">
                  <c:v>322380205</c:v>
                </c:pt>
                <c:pt idx="26">
                  <c:v>194937011</c:v>
                </c:pt>
                <c:pt idx="27">
                  <c:v>237586929</c:v>
                </c:pt>
                <c:pt idx="28">
                  <c:v>220411672</c:v>
                </c:pt>
                <c:pt idx="29">
                  <c:v>195672061</c:v>
                </c:pt>
                <c:pt idx="30">
                  <c:v>188200498</c:v>
                </c:pt>
                <c:pt idx="31">
                  <c:v>184037016</c:v>
                </c:pt>
                <c:pt idx="32">
                  <c:v>177103882</c:v>
                </c:pt>
                <c:pt idx="33">
                  <c:v>160765887</c:v>
                </c:pt>
                <c:pt idx="34">
                  <c:v>165300057</c:v>
                </c:pt>
                <c:pt idx="35">
                  <c:v>170759327</c:v>
                </c:pt>
                <c:pt idx="36">
                  <c:v>241485820</c:v>
                </c:pt>
                <c:pt idx="37">
                  <c:v>256750071</c:v>
                </c:pt>
                <c:pt idx="38">
                  <c:v>188499654</c:v>
                </c:pt>
                <c:pt idx="39">
                  <c:v>219818424</c:v>
                </c:pt>
                <c:pt idx="40">
                  <c:v>207360623</c:v>
                </c:pt>
                <c:pt idx="41">
                  <c:v>226870475</c:v>
                </c:pt>
                <c:pt idx="42">
                  <c:v>182006599</c:v>
                </c:pt>
                <c:pt idx="43">
                  <c:v>188392463</c:v>
                </c:pt>
                <c:pt idx="44">
                  <c:v>229739131</c:v>
                </c:pt>
                <c:pt idx="45">
                  <c:v>232744551</c:v>
                </c:pt>
                <c:pt idx="46">
                  <c:v>257800693</c:v>
                </c:pt>
                <c:pt idx="47">
                  <c:v>271838266</c:v>
                </c:pt>
                <c:pt idx="48">
                  <c:v>255216461</c:v>
                </c:pt>
                <c:pt idx="49">
                  <c:v>258063576</c:v>
                </c:pt>
                <c:pt idx="50">
                  <c:v>265978550</c:v>
                </c:pt>
                <c:pt idx="51">
                  <c:v>274876396</c:v>
                </c:pt>
                <c:pt idx="52">
                  <c:v>234964495</c:v>
                </c:pt>
                <c:pt idx="53">
                  <c:v>217147147</c:v>
                </c:pt>
                <c:pt idx="54">
                  <c:v>224233941</c:v>
                </c:pt>
                <c:pt idx="55">
                  <c:v>200731911</c:v>
                </c:pt>
                <c:pt idx="56">
                  <c:v>196766715</c:v>
                </c:pt>
                <c:pt idx="57">
                  <c:v>259565151</c:v>
                </c:pt>
                <c:pt idx="58">
                  <c:v>174817192</c:v>
                </c:pt>
                <c:pt idx="59">
                  <c:v>199431280</c:v>
                </c:pt>
                <c:pt idx="60">
                  <c:v>175392743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4062861"/>
        <c:axId val="90284136"/>
      </c:lineChart>
      <c:catAx>
        <c:axId val="540628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284136"/>
        <c:crosses val="autoZero"/>
        <c:auto val="1"/>
        <c:lblAlgn val="ctr"/>
        <c:lblOffset val="100"/>
        <c:noMultiLvlLbl val="0"/>
      </c:catAx>
      <c:valAx>
        <c:axId val="902841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,,&quot;백만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0628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17</xdr:col>
      <xdr:colOff>403920</xdr:colOff>
      <xdr:row>17</xdr:row>
      <xdr:rowOff>21960</xdr:rowOff>
    </xdr:to>
    <xdr:graphicFrame>
      <xdr:nvGraphicFramePr>
        <xdr:cNvPr id="0" name="Chart 1"/>
        <xdr:cNvGraphicFramePr/>
      </xdr:nvGraphicFramePr>
      <xdr:xfrm>
        <a:off x="0" y="380880"/>
        <a:ext cx="107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19</xdr:row>
      <xdr:rowOff>0</xdr:rowOff>
    </xdr:from>
    <xdr:to>
      <xdr:col>9</xdr:col>
      <xdr:colOff>255960</xdr:colOff>
      <xdr:row>34</xdr:row>
      <xdr:rowOff>21960</xdr:rowOff>
    </xdr:to>
    <xdr:graphicFrame>
      <xdr:nvGraphicFramePr>
        <xdr:cNvPr id="1" name="Chart 2"/>
        <xdr:cNvGraphicFramePr/>
      </xdr:nvGraphicFramePr>
      <xdr:xfrm>
        <a:off x="0" y="3619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19</xdr:row>
      <xdr:rowOff>0</xdr:rowOff>
    </xdr:from>
    <xdr:to>
      <xdr:col>22</xdr:col>
      <xdr:colOff>581400</xdr:colOff>
      <xdr:row>37</xdr:row>
      <xdr:rowOff>170640</xdr:rowOff>
    </xdr:to>
    <xdr:graphicFrame>
      <xdr:nvGraphicFramePr>
        <xdr:cNvPr id="2" name="Chart 3"/>
        <xdr:cNvGraphicFramePr/>
      </xdr:nvGraphicFramePr>
      <xdr:xfrm>
        <a:off x="6114960" y="361944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41</xdr:row>
      <xdr:rowOff>0</xdr:rowOff>
    </xdr:from>
    <xdr:to>
      <xdr:col>17</xdr:col>
      <xdr:colOff>403920</xdr:colOff>
      <xdr:row>59</xdr:row>
      <xdr:rowOff>170640</xdr:rowOff>
    </xdr:to>
    <xdr:graphicFrame>
      <xdr:nvGraphicFramePr>
        <xdr:cNvPr id="3" name="Chart 4"/>
        <xdr:cNvGraphicFramePr/>
      </xdr:nvGraphicFramePr>
      <xdr:xfrm>
        <a:off x="0" y="7810560"/>
        <a:ext cx="107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6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7" min="5" style="0" width="15"/>
    <col collapsed="false" customWidth="true" hidden="false" outlineLevel="0" max="8" min="8" style="0" width="18"/>
    <col collapsed="false" customWidth="true" hidden="false" outlineLevel="0" max="10" min="9" style="0" width="15"/>
    <col collapsed="false" customWidth="true" hidden="false" outlineLevel="0" max="11" min="11" style="0" width="22"/>
    <col collapsed="false" customWidth="true" hidden="false" outlineLevel="0" max="12" min="12" style="0" width="12"/>
  </cols>
  <sheetData>
    <row r="1" customFormat="false" ht="20.1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6.4" hidden="false" customHeight="false" outlineLevel="0" collapsed="false">
      <c r="B4" s="3" t="s">
        <v>2</v>
      </c>
      <c r="C4" s="4"/>
      <c r="D4" s="4"/>
      <c r="E4" s="4"/>
      <c r="F4" s="4"/>
      <c r="G4" s="4"/>
      <c r="H4" s="4"/>
      <c r="I4" s="4"/>
      <c r="J4" s="4"/>
      <c r="K4" s="4"/>
    </row>
    <row r="5" customFormat="false" ht="15" hidden="false" customHeight="false" outlineLevel="0" collapsed="false">
      <c r="B5" s="5" t="s">
        <v>3</v>
      </c>
      <c r="C5" s="5"/>
      <c r="D5" s="5"/>
      <c r="E5" s="6" t="n">
        <f aca="false">'주별 매출'!BM5</f>
        <v>5010739067</v>
      </c>
      <c r="G5" s="5" t="s">
        <v>4</v>
      </c>
      <c r="H5" s="5"/>
      <c r="I5" s="5"/>
      <c r="J5" s="7" t="n">
        <f aca="false">'주별 매출'!BM5/'주별 매출'!BL5-1</f>
        <v>-0.0195553981160291</v>
      </c>
    </row>
    <row r="6" customFormat="false" ht="15" hidden="false" customHeight="false" outlineLevel="0" collapsed="false">
      <c r="B6" s="5" t="s">
        <v>5</v>
      </c>
      <c r="C6" s="5"/>
      <c r="D6" s="5"/>
      <c r="E6" s="7" t="n">
        <f aca="false">'주별 매출'!BM5/'주별 매출'!M5-1</f>
        <v>0.241463509865449</v>
      </c>
      <c r="G6" s="5" t="s">
        <v>6</v>
      </c>
      <c r="H6" s="5"/>
      <c r="I6" s="5"/>
      <c r="J6" s="6" t="n">
        <f aca="false">'걸개처별 추이 요약'!M8</f>
        <v>19961978700</v>
      </c>
    </row>
    <row r="7" customFormat="false" ht="15" hidden="false" customHeight="false" outlineLevel="0" collapsed="false">
      <c r="B7" s="8" t="s">
        <v>7</v>
      </c>
      <c r="C7" s="8"/>
      <c r="D7" s="8"/>
      <c r="E7" s="7" t="n">
        <f aca="false">'걸개처별 추이 요약'!O8</f>
        <v>-0.0313775131200538</v>
      </c>
      <c r="G7" s="8" t="s">
        <v>8</v>
      </c>
      <c r="H7" s="8"/>
      <c r="I7" s="8"/>
      <c r="J7" s="6" t="n">
        <f aca="false">'월별 매출'!L5</f>
        <v>21340213998</v>
      </c>
    </row>
    <row r="8" customFormat="false" ht="15" hidden="false" customHeight="false" outlineLevel="0" collapsed="false">
      <c r="B8" s="8" t="s">
        <v>9</v>
      </c>
      <c r="C8" s="8"/>
      <c r="D8" s="8"/>
      <c r="E8" s="7" t="n">
        <f aca="false">'월별 매출'!U5</f>
        <v>-0.0626758730834843</v>
      </c>
      <c r="G8" s="8" t="s">
        <v>10</v>
      </c>
      <c r="H8" s="8"/>
      <c r="I8" s="8"/>
      <c r="J8" s="6" t="n">
        <f aca="false">'월별 매출'!M5</f>
        <v>196906636099</v>
      </c>
    </row>
    <row r="9" customFormat="false" ht="15" hidden="false" customHeight="false" outlineLevel="0" collapsed="false">
      <c r="B9" s="8" t="s">
        <v>11</v>
      </c>
      <c r="C9" s="8"/>
      <c r="D9" s="8"/>
      <c r="E9" s="7" t="n">
        <f aca="false">'걸개처별 추이 요약'!H8</f>
        <v>0.0904288019201374</v>
      </c>
      <c r="G9" s="5" t="s">
        <v>12</v>
      </c>
      <c r="H9" s="5"/>
      <c r="I9" s="5"/>
      <c r="J9" s="7" t="n">
        <f aca="false">SUM('걸개처별 추이 요약'!R9:R13)</f>
        <v>0.543003564972244</v>
      </c>
    </row>
    <row r="11" customFormat="false" ht="16.4" hidden="false" customHeight="false" outlineLevel="0" collapsed="false">
      <c r="B11" s="3" t="s">
        <v>13</v>
      </c>
      <c r="C11" s="4"/>
      <c r="D11" s="4"/>
      <c r="E11" s="4"/>
      <c r="F11" s="4"/>
      <c r="G11" s="4"/>
      <c r="H11" s="4"/>
      <c r="I11" s="4"/>
      <c r="J11" s="4"/>
      <c r="K11" s="4"/>
    </row>
    <row r="12" customFormat="false" ht="15" hidden="false" customHeight="true" outlineLevel="0" collapsed="false">
      <c r="B12" s="9" t="s">
        <v>14</v>
      </c>
      <c r="C12" s="9"/>
      <c r="D12" s="10" t="s">
        <v>15</v>
      </c>
      <c r="E12" s="10" t="s">
        <v>16</v>
      </c>
      <c r="F12" s="10" t="s">
        <v>17</v>
      </c>
      <c r="G12" s="10" t="s">
        <v>18</v>
      </c>
      <c r="H12" s="10" t="s">
        <v>19</v>
      </c>
      <c r="I12" s="10" t="s">
        <v>20</v>
      </c>
      <c r="J12" s="10" t="s">
        <v>21</v>
      </c>
      <c r="K12" s="10" t="s">
        <v>22</v>
      </c>
      <c r="L12" s="10" t="s">
        <v>23</v>
      </c>
    </row>
    <row r="13" customFormat="false" ht="15" hidden="false" customHeight="false" outlineLevel="0" collapsed="false">
      <c r="B13" s="11" t="s">
        <v>24</v>
      </c>
      <c r="C13" s="11"/>
      <c r="D13" s="12" t="n">
        <f aca="false">'월별 매출'!D5</f>
        <v>21750286263</v>
      </c>
      <c r="E13" s="12" t="n">
        <f aca="false">'월별 매출'!E5</f>
        <v>19295447144</v>
      </c>
      <c r="F13" s="12" t="n">
        <f aca="false">'월별 매출'!F5</f>
        <v>20923415382</v>
      </c>
      <c r="G13" s="12" t="n">
        <f aca="false">'월별 매출'!G5</f>
        <v>21599349179</v>
      </c>
      <c r="H13" s="12" t="n">
        <f aca="false">'월별 매출'!H5</f>
        <v>23431970830</v>
      </c>
      <c r="I13" s="12" t="n">
        <f aca="false">'월별 매출'!I5</f>
        <v>22333222631</v>
      </c>
      <c r="J13" s="12" t="n">
        <f aca="false">'월별 매출'!J5</f>
        <v>23465564667</v>
      </c>
      <c r="K13" s="12" t="n">
        <f aca="false">'월별 매출'!K5</f>
        <v>22767166005</v>
      </c>
      <c r="L13" s="12" t="n">
        <f aca="false">'월별 매출'!L5</f>
        <v>21340213998</v>
      </c>
    </row>
    <row r="14" customFormat="false" ht="15" hidden="false" customHeight="false" outlineLevel="0" collapsed="false">
      <c r="B14" s="11" t="s">
        <v>25</v>
      </c>
      <c r="C14" s="11"/>
      <c r="D14" s="13" t="s">
        <v>26</v>
      </c>
      <c r="E14" s="13" t="n">
        <f aca="false">'월별 매출'!N5</f>
        <v>-0.112864680920361</v>
      </c>
      <c r="F14" s="13" t="n">
        <f aca="false">'월별 매출'!O5</f>
        <v>0.0843705888674482</v>
      </c>
      <c r="G14" s="13" t="n">
        <f aca="false">'월별 매출'!P5</f>
        <v>0.0323051368363834</v>
      </c>
      <c r="H14" s="13" t="n">
        <f aca="false">'월별 매출'!Q5</f>
        <v>0.0848461514193108</v>
      </c>
      <c r="I14" s="13" t="n">
        <f aca="false">'월별 매출'!R5</f>
        <v>-0.046890985268438</v>
      </c>
      <c r="J14" s="13" t="n">
        <f aca="false">'월별 매출'!S5</f>
        <v>0.0507021335303501</v>
      </c>
      <c r="K14" s="13" t="n">
        <f aca="false">'월별 매출'!T5</f>
        <v>-0.0297627042822528</v>
      </c>
      <c r="L14" s="13" t="n">
        <f aca="false">'월별 매출'!U5</f>
        <v>-0.0626758730834843</v>
      </c>
    </row>
    <row r="16" customFormat="false" ht="16.4" hidden="false" customHeight="false" outlineLevel="0" collapsed="false">
      <c r="B16" s="3" t="s">
        <v>27</v>
      </c>
      <c r="C16" s="4"/>
      <c r="D16" s="4"/>
      <c r="E16" s="4"/>
      <c r="F16" s="4"/>
      <c r="G16" s="4"/>
      <c r="H16" s="4"/>
      <c r="I16" s="4"/>
      <c r="J16" s="4"/>
      <c r="K16" s="4"/>
    </row>
    <row r="17" customFormat="false" ht="15" hidden="false" customHeight="true" outlineLevel="0" collapsed="false">
      <c r="B17" s="9" t="s">
        <v>14</v>
      </c>
      <c r="C17" s="9"/>
      <c r="D17" s="9" t="s">
        <v>28</v>
      </c>
      <c r="E17" s="9" t="s">
        <v>29</v>
      </c>
      <c r="F17" s="9" t="s">
        <v>30</v>
      </c>
      <c r="G17" s="9" t="s">
        <v>31</v>
      </c>
      <c r="H17" s="9" t="s">
        <v>32</v>
      </c>
    </row>
    <row r="18" customFormat="false" ht="15" hidden="false" customHeight="false" outlineLevel="0" collapsed="false">
      <c r="B18" s="11" t="s">
        <v>33</v>
      </c>
      <c r="C18" s="11"/>
      <c r="D18" s="14" t="n">
        <f aca="false">COUNTIF('걸개처별 추이 요약'!S9:S128,"▲*")</f>
        <v>16</v>
      </c>
      <c r="E18" s="14" t="n">
        <f aca="false">COUNTIF('걸개처별 추이 요약'!S9:S128,"―*")</f>
        <v>21</v>
      </c>
      <c r="F18" s="14" t="n">
        <f aca="false">COUNTIF('걸개처별 추이 요약'!S9:S128,"▼*")</f>
        <v>55</v>
      </c>
      <c r="G18" s="14" t="n">
        <f aca="false">COUNTIF('걸개처별 추이 요약'!S9:S128,"●*")</f>
        <v>1</v>
      </c>
      <c r="H18" s="14" t="n">
        <f aca="false">COUNTIF('걸개처별 추이 요약'!S9:S128,"■*")</f>
        <v>3</v>
      </c>
    </row>
    <row r="19" customFormat="false" ht="15" hidden="false" customHeight="false" outlineLevel="0" collapsed="false">
      <c r="B19" s="11" t="s">
        <v>34</v>
      </c>
      <c r="C19" s="11"/>
      <c r="D19" s="14" t="n">
        <f aca="false">COUNTIF('걸개처별 추이 요약'!T9:T128,"▲*")</f>
        <v>29</v>
      </c>
      <c r="E19" s="14" t="n">
        <f aca="false">COUNTIF('걸개처별 추이 요약'!T9:T128,"―*")</f>
        <v>15</v>
      </c>
      <c r="F19" s="14" t="n">
        <f aca="false">COUNTIF('걸개처별 추이 요약'!T9:T128,"▼*")</f>
        <v>41</v>
      </c>
      <c r="G19" s="14" t="n">
        <f aca="false">COUNTIF('걸개처별 추이 요약'!T9:T128,"●*")</f>
        <v>14</v>
      </c>
      <c r="H19" s="14" t="n">
        <f aca="false">COUNTIF('걸개처별 추이 요약'!T9:T128,"■*")</f>
        <v>13</v>
      </c>
    </row>
    <row r="20" customFormat="false" ht="15" hidden="false" customHeight="false" outlineLevel="0" collapsed="false">
      <c r="B20" s="15" t="s">
        <v>35</v>
      </c>
    </row>
    <row r="22" customFormat="false" ht="16.4" hidden="false" customHeight="false" outlineLevel="0" collapsed="false">
      <c r="B22" s="3" t="s">
        <v>36</v>
      </c>
      <c r="C22" s="4"/>
      <c r="D22" s="4"/>
      <c r="E22" s="4"/>
      <c r="F22" s="4"/>
      <c r="G22" s="4"/>
      <c r="H22" s="4"/>
      <c r="I22" s="4"/>
      <c r="J22" s="4"/>
      <c r="K22" s="4"/>
    </row>
    <row r="23" customFormat="false" ht="31.5" hidden="false" customHeight="true" outlineLevel="0" collapsed="false">
      <c r="B23" s="16" t="s">
        <v>37</v>
      </c>
      <c r="C23" s="16"/>
      <c r="D23" s="17" t="s">
        <v>38</v>
      </c>
      <c r="E23" s="17"/>
      <c r="F23" s="17"/>
      <c r="G23" s="17"/>
      <c r="H23" s="17"/>
      <c r="I23" s="17"/>
      <c r="J23" s="17"/>
      <c r="K23" s="17"/>
      <c r="L23" s="17"/>
    </row>
    <row r="24" customFormat="false" ht="31.5" hidden="false" customHeight="true" outlineLevel="0" collapsed="false">
      <c r="B24" s="16" t="s">
        <v>39</v>
      </c>
      <c r="C24" s="16"/>
      <c r="D24" s="17" t="s">
        <v>40</v>
      </c>
      <c r="E24" s="17"/>
      <c r="F24" s="17"/>
      <c r="G24" s="17"/>
      <c r="H24" s="17"/>
      <c r="I24" s="17"/>
      <c r="J24" s="17"/>
      <c r="K24" s="17"/>
      <c r="L24" s="17"/>
    </row>
    <row r="25" customFormat="false" ht="31.5" hidden="false" customHeight="true" outlineLevel="0" collapsed="false">
      <c r="B25" s="16" t="s">
        <v>41</v>
      </c>
      <c r="C25" s="16"/>
      <c r="D25" s="17" t="s">
        <v>42</v>
      </c>
      <c r="E25" s="17"/>
      <c r="F25" s="17"/>
      <c r="G25" s="17"/>
      <c r="H25" s="17"/>
      <c r="I25" s="17"/>
      <c r="J25" s="17"/>
      <c r="K25" s="17"/>
      <c r="L25" s="17"/>
    </row>
    <row r="26" customFormat="false" ht="31.5" hidden="false" customHeight="true" outlineLevel="0" collapsed="false">
      <c r="B26" s="16" t="s">
        <v>43</v>
      </c>
      <c r="C26" s="16"/>
      <c r="D26" s="17" t="s">
        <v>44</v>
      </c>
      <c r="E26" s="17"/>
      <c r="F26" s="17"/>
      <c r="G26" s="17"/>
      <c r="H26" s="17"/>
      <c r="I26" s="17"/>
      <c r="J26" s="17"/>
      <c r="K26" s="17"/>
      <c r="L26" s="17"/>
    </row>
    <row r="27" customFormat="false" ht="31.5" hidden="false" customHeight="true" outlineLevel="0" collapsed="false">
      <c r="B27" s="16" t="s">
        <v>45</v>
      </c>
      <c r="C27" s="16"/>
      <c r="D27" s="17" t="s">
        <v>46</v>
      </c>
      <c r="E27" s="17"/>
      <c r="F27" s="17"/>
      <c r="G27" s="17"/>
      <c r="H27" s="17"/>
      <c r="I27" s="17"/>
      <c r="J27" s="17"/>
      <c r="K27" s="17"/>
      <c r="L27" s="17"/>
    </row>
    <row r="28" customFormat="false" ht="31.5" hidden="false" customHeight="true" outlineLevel="0" collapsed="false">
      <c r="B28" s="16" t="s">
        <v>47</v>
      </c>
      <c r="C28" s="16"/>
      <c r="D28" s="17" t="s">
        <v>48</v>
      </c>
      <c r="E28" s="17"/>
      <c r="F28" s="17"/>
      <c r="G28" s="17"/>
      <c r="H28" s="17"/>
      <c r="I28" s="17"/>
      <c r="J28" s="17"/>
      <c r="K28" s="17"/>
      <c r="L28" s="17"/>
    </row>
    <row r="29" customFormat="false" ht="31.5" hidden="false" customHeight="true" outlineLevel="0" collapsed="false">
      <c r="B29" s="16" t="s">
        <v>49</v>
      </c>
      <c r="C29" s="16"/>
      <c r="D29" s="17" t="s">
        <v>50</v>
      </c>
      <c r="E29" s="17"/>
      <c r="F29" s="17"/>
      <c r="G29" s="17"/>
      <c r="H29" s="17"/>
      <c r="I29" s="17"/>
      <c r="J29" s="17"/>
      <c r="K29" s="17"/>
      <c r="L29" s="17"/>
    </row>
    <row r="30" customFormat="false" ht="15" hidden="false" customHeight="false" outlineLevel="0" collapsed="false">
      <c r="B30" s="15" t="s">
        <v>51</v>
      </c>
    </row>
    <row r="32" customFormat="false" ht="16.4" hidden="false" customHeight="false" outlineLevel="0" collapsed="false">
      <c r="B32" s="3" t="s">
        <v>52</v>
      </c>
      <c r="C32" s="4"/>
      <c r="D32" s="4"/>
      <c r="E32" s="4"/>
      <c r="F32" s="4"/>
      <c r="G32" s="4"/>
      <c r="H32" s="4"/>
      <c r="I32" s="4"/>
      <c r="J32" s="4"/>
      <c r="K32" s="4"/>
    </row>
    <row r="33" customFormat="false" ht="15" hidden="false" customHeight="false" outlineLevel="0" collapsed="false">
      <c r="C33" s="9" t="s">
        <v>14</v>
      </c>
      <c r="D33" s="9" t="s">
        <v>53</v>
      </c>
      <c r="E33" s="9" t="s">
        <v>54</v>
      </c>
      <c r="F33" s="10" t="s">
        <v>55</v>
      </c>
      <c r="G33" s="10" t="s">
        <v>56</v>
      </c>
      <c r="H33" s="10" t="s">
        <v>57</v>
      </c>
      <c r="I33" s="10" t="s">
        <v>58</v>
      </c>
      <c r="J33" s="9" t="s">
        <v>5</v>
      </c>
      <c r="K33" s="9" t="s">
        <v>59</v>
      </c>
      <c r="L33" s="9" t="s">
        <v>60</v>
      </c>
    </row>
    <row r="34" customFormat="false" ht="15" hidden="false" customHeight="false" outlineLevel="0" collapsed="false">
      <c r="C34" s="18" t="s">
        <v>61</v>
      </c>
      <c r="D34" s="19" t="s">
        <v>62</v>
      </c>
      <c r="E34" s="12" t="n">
        <f aca="false">IFERROR(INDEX('걸개처별 추이 요약'!$M$9:$M$128,MATCH($D34,'걸개처별 추이 요약'!$D$9:$D$128,0)),"")</f>
        <v>1741354296</v>
      </c>
      <c r="F34" s="20" t="n">
        <f aca="false">IFERROR(INDEX('걸개처별 추이 요약'!$O$9:$O$128,MATCH($D34,'걸개처별 추이 요약'!$D$9:$D$128,0)),"")</f>
        <v>0.0751911162081307</v>
      </c>
      <c r="G34" s="12" t="n">
        <f aca="false">IFERROR(INDEX('걸개처별 추이 요약'!$I$9:$I$128,MATCH($D34,'걸개처별 추이 요약'!$D$9:$D$128,0)),"")</f>
        <v>1836670965</v>
      </c>
      <c r="H34" s="20" t="n">
        <f aca="false">IFERROR(INDEX('걸개처별 추이 요약'!$J$9:$J$128,MATCH($D34,'걸개처별 추이 요약'!$D$9:$D$128,0)),"")</f>
        <v>0.0181352912078685</v>
      </c>
      <c r="I34" s="20" t="n">
        <f aca="false">IFERROR(INDEX('걸개처별 추이 요약'!$H$9:$H$128,MATCH($D34,'걸개처별 추이 요약'!$D$9:$D$128,0)),"")</f>
        <v>2.44540666129628</v>
      </c>
      <c r="J34" s="20" t="str">
        <f aca="false">IFERROR(INDEX('걸개처별 추이 요약'!$Q$9:$Q$128,MATCH($D34,'걸개처별 추이 요약'!$D$9:$D$128,0)),"")</f>
        <v/>
      </c>
      <c r="K34" s="21" t="str">
        <f aca="false">IFERROR(INDEX('걸개처별 추이 요약'!$S$9:$S$128,MATCH($D34,'걸개처별 추이 요약'!$D$9:$D$128,0)),"")</f>
        <v>▲ 상승</v>
      </c>
      <c r="L34" s="21" t="str">
        <f aca="false">IFERROR(INDEX('걸개처별 추이 요약'!$T$9:$T$128,MATCH($D34,'걸개처별 추이 요약'!$D$9:$D$128,0)),"")</f>
        <v>▲ 상승</v>
      </c>
    </row>
    <row r="35" customFormat="false" ht="15" hidden="false" customHeight="false" outlineLevel="0" collapsed="false">
      <c r="C35" s="18" t="s">
        <v>61</v>
      </c>
      <c r="D35" s="22" t="s">
        <v>63</v>
      </c>
      <c r="E35" s="12" t="n">
        <f aca="false">IFERROR(INDEX('걸개처별 추이 요약'!$M$9:$M$128,MATCH($D35,'걸개처별 추이 요약'!$D$9:$D$128,0)),"")</f>
        <v>479753758</v>
      </c>
      <c r="F35" s="20" t="n">
        <f aca="false">IFERROR(INDEX('걸개처별 추이 요약'!$O$9:$O$128,MATCH($D35,'걸개처별 추이 요약'!$D$9:$D$128,0)),"")</f>
        <v>0.0763133648253165</v>
      </c>
      <c r="G35" s="12" t="n">
        <f aca="false">IFERROR(INDEX('걸개처별 추이 요약'!$I$9:$I$128,MATCH($D35,'걸개처별 추이 요약'!$D$9:$D$128,0)),"")</f>
        <v>509432352</v>
      </c>
      <c r="H35" s="20" t="n">
        <f aca="false">IFERROR(INDEX('걸개처별 추이 요약'!$J$9:$J$128,MATCH($D35,'걸개처별 추이 요약'!$D$9:$D$128,0)),"")</f>
        <v>0.0669083040265106</v>
      </c>
      <c r="I35" s="20" t="n">
        <f aca="false">IFERROR(INDEX('걸개처별 추이 요약'!$H$9:$H$128,MATCH($D35,'걸개처별 추이 요약'!$D$9:$D$128,0)),"")</f>
        <v>0.636442315363026</v>
      </c>
      <c r="J35" s="20" t="n">
        <f aca="false">IFERROR(INDEX('걸개처별 추이 요약'!$Q$9:$Q$128,MATCH($D35,'걸개처별 추이 요약'!$D$9:$D$128,0)),"")</f>
        <v>1.19847888586452</v>
      </c>
      <c r="K35" s="21" t="str">
        <f aca="false">IFERROR(INDEX('걸개처별 추이 요약'!$S$9:$S$128,MATCH($D35,'걸개처별 추이 요약'!$D$9:$D$128,0)),"")</f>
        <v>▲ 상승</v>
      </c>
      <c r="L35" s="21" t="str">
        <f aca="false">IFERROR(INDEX('걸개처별 추이 요약'!$T$9:$T$128,MATCH($D35,'걸개처별 추이 요약'!$D$9:$D$128,0)),"")</f>
        <v>▲ 상승</v>
      </c>
    </row>
    <row r="36" customFormat="false" ht="15" hidden="false" customHeight="false" outlineLevel="0" collapsed="false">
      <c r="C36" s="18" t="s">
        <v>61</v>
      </c>
      <c r="D36" s="19" t="s">
        <v>64</v>
      </c>
      <c r="E36" s="12" t="n">
        <f aca="false">IFERROR(INDEX('걸개처별 추이 요약'!$M$9:$M$128,MATCH($D36,'걸개처별 추이 요약'!$D$9:$D$128,0)),"")</f>
        <v>150160541</v>
      </c>
      <c r="F36" s="20" t="n">
        <f aca="false">IFERROR(INDEX('걸개처별 추이 요약'!$O$9:$O$128,MATCH($D36,'걸개처별 추이 요약'!$D$9:$D$128,0)),"")</f>
        <v>-0.107085448266911</v>
      </c>
      <c r="G36" s="12" t="n">
        <f aca="false">IFERROR(INDEX('걸개처별 추이 요약'!$I$9:$I$128,MATCH($D36,'걸개처별 추이 요약'!$D$9:$D$128,0)),"")</f>
        <v>178729832</v>
      </c>
      <c r="H36" s="20" t="n">
        <f aca="false">IFERROR(INDEX('걸개처별 추이 요약'!$J$9:$J$128,MATCH($D36,'걸개처별 추이 요약'!$D$9:$D$128,0)),"")</f>
        <v>-0.10606761093151</v>
      </c>
      <c r="I36" s="20" t="n">
        <f aca="false">IFERROR(INDEX('걸개처별 추이 요약'!$H$9:$H$128,MATCH($D36,'걸개처별 추이 요약'!$D$9:$D$128,0)),"")</f>
        <v>0.760003052503484</v>
      </c>
      <c r="J36" s="20" t="n">
        <f aca="false">IFERROR(INDEX('걸개처별 추이 요약'!$Q$9:$Q$128,MATCH($D36,'걸개처별 추이 요약'!$D$9:$D$128,0)),"")</f>
        <v>-0.147452103176341</v>
      </c>
      <c r="K36" s="21" t="str">
        <f aca="false">IFERROR(INDEX('걸개처별 추이 요약'!$S$9:$S$128,MATCH($D36,'걸개처별 추이 요약'!$D$9:$D$128,0)),"")</f>
        <v>▼ 하락</v>
      </c>
      <c r="L36" s="21" t="str">
        <f aca="false">IFERROR(INDEX('걸개처별 추이 요약'!$T$9:$T$128,MATCH($D36,'걸개처별 추이 요약'!$D$9:$D$128,0)),"")</f>
        <v>▲ 상승</v>
      </c>
    </row>
    <row r="37" customFormat="false" ht="15" hidden="false" customHeight="false" outlineLevel="0" collapsed="false">
      <c r="C37" s="18" t="s">
        <v>61</v>
      </c>
      <c r="D37" s="19" t="s">
        <v>65</v>
      </c>
      <c r="E37" s="12" t="n">
        <f aca="false">IFERROR(INDEX('걸개처별 추이 요약'!$M$9:$M$128,MATCH($D37,'걸개처별 추이 요약'!$D$9:$D$128,0)),"")</f>
        <v>114330574</v>
      </c>
      <c r="F37" s="20" t="n">
        <f aca="false">IFERROR(INDEX('걸개처별 추이 요약'!$O$9:$O$128,MATCH($D37,'걸개처별 추이 요약'!$D$9:$D$128,0)),"")</f>
        <v>-0.0740471758001577</v>
      </c>
      <c r="G37" s="12" t="n">
        <f aca="false">IFERROR(INDEX('걸개처별 추이 요약'!$I$9:$I$128,MATCH($D37,'걸개처별 추이 요약'!$D$9:$D$128,0)),"")</f>
        <v>134444334</v>
      </c>
      <c r="H37" s="20" t="n">
        <f aca="false">IFERROR(INDEX('걸개처별 추이 요약'!$J$9:$J$128,MATCH($D37,'걸개처별 추이 요약'!$D$9:$D$128,0)),"")</f>
        <v>-0.110000445184027</v>
      </c>
      <c r="I37" s="20" t="n">
        <f aca="false">IFERROR(INDEX('걸개처별 추이 요약'!$H$9:$H$128,MATCH($D37,'걸개처별 추이 요약'!$D$9:$D$128,0)),"")</f>
        <v>0.442563856824427</v>
      </c>
      <c r="J37" s="20" t="n">
        <f aca="false">IFERROR(INDEX('걸개처별 추이 요약'!$Q$9:$Q$128,MATCH($D37,'걸개처별 추이 요약'!$D$9:$D$128,0)),"")</f>
        <v>-0.0846836244654013</v>
      </c>
      <c r="K37" s="21" t="str">
        <f aca="false">IFERROR(INDEX('걸개처별 추이 요약'!$S$9:$S$128,MATCH($D37,'걸개처별 추이 요약'!$D$9:$D$128,0)),"")</f>
        <v>▼ 하락</v>
      </c>
      <c r="L37" s="21" t="str">
        <f aca="false">IFERROR(INDEX('걸개처별 추이 요약'!$T$9:$T$128,MATCH($D37,'걸개처별 추이 요약'!$D$9:$D$128,0)),"")</f>
        <v>▲ 상승</v>
      </c>
    </row>
    <row r="38" customFormat="false" ht="15" hidden="false" customHeight="false" outlineLevel="0" collapsed="false">
      <c r="C38" s="18" t="s">
        <v>47</v>
      </c>
      <c r="D38" s="19" t="s">
        <v>66</v>
      </c>
      <c r="E38" s="12" t="n">
        <f aca="false">IFERROR(INDEX('걸개처별 추이 요약'!$M$9:$M$128,MATCH($D38,'걸개처별 추이 요약'!$D$9:$D$128,0)),"")</f>
        <v>181559154</v>
      </c>
      <c r="F38" s="20" t="n">
        <f aca="false">IFERROR(INDEX('걸개처별 추이 요약'!$O$9:$O$128,MATCH($D38,'걸개처별 추이 요약'!$D$9:$D$128,0)),"")</f>
        <v>5.30826394766577</v>
      </c>
      <c r="G38" s="12" t="n">
        <f aca="false">IFERROR(INDEX('걸개처별 추이 요약'!$I$9:$I$128,MATCH($D38,'걸개처별 추이 요약'!$D$9:$D$128,0)),"")</f>
        <v>88518594</v>
      </c>
      <c r="H38" s="20" t="str">
        <f aca="false">IFERROR(INDEX('걸개처별 추이 요약'!$J$9:$J$128,MATCH($D38,'걸개처별 추이 요약'!$D$9:$D$128,0)),"")</f>
        <v/>
      </c>
      <c r="I38" s="20" t="str">
        <f aca="false">IFERROR(INDEX('걸개처별 추이 요약'!$H$9:$H$128,MATCH($D38,'걸개처별 추이 요약'!$D$9:$D$128,0)),"")</f>
        <v/>
      </c>
      <c r="J38" s="20" t="str">
        <f aca="false">IFERROR(INDEX('걸개처별 추이 요약'!$Q$9:$Q$128,MATCH($D38,'걸개처별 추이 요약'!$D$9:$D$128,0)),"")</f>
        <v/>
      </c>
      <c r="K38" s="21" t="str">
        <f aca="false">IFERROR(INDEX('걸개처별 추이 요약'!$S$9:$S$128,MATCH($D38,'걸개처별 추이 요약'!$D$9:$D$128,0)),"")</f>
        <v>▲ 상승</v>
      </c>
      <c r="L38" s="21" t="str">
        <f aca="false">IFERROR(INDEX('걸개처별 추이 요약'!$T$9:$T$128,MATCH($D38,'걸개처별 추이 요약'!$D$9:$D$128,0)),"")</f>
        <v>● 신규 발생</v>
      </c>
    </row>
    <row r="39" customFormat="false" ht="15" hidden="false" customHeight="false" outlineLevel="0" collapsed="false">
      <c r="C39" s="23" t="s">
        <v>67</v>
      </c>
      <c r="D39" s="22" t="s">
        <v>68</v>
      </c>
      <c r="E39" s="12" t="n">
        <f aca="false">IFERROR(INDEX('걸개처별 추이 요약'!$M$9:$M$128,MATCH($D39,'걸개처별 추이 요약'!$D$9:$D$128,0)),"")</f>
        <v>646136281</v>
      </c>
      <c r="F39" s="20" t="n">
        <f aca="false">IFERROR(INDEX('걸개처별 추이 요약'!$O$9:$O$128,MATCH($D39,'걸개처별 추이 요약'!$D$9:$D$128,0)),"")</f>
        <v>0.101916358930328</v>
      </c>
      <c r="G39" s="12" t="n">
        <f aca="false">IFERROR(INDEX('걸개처별 추이 요약'!$I$9:$I$128,MATCH($D39,'걸개처별 추이 요약'!$D$9:$D$128,0)),"")</f>
        <v>648818993</v>
      </c>
      <c r="H39" s="20" t="n">
        <f aca="false">IFERROR(INDEX('걸개처별 추이 요약'!$J$9:$J$128,MATCH($D39,'걸개처별 추이 요약'!$D$9:$D$128,0)),"")</f>
        <v>0.0961853114332822</v>
      </c>
      <c r="I39" s="20" t="n">
        <f aca="false">IFERROR(INDEX('걸개처별 추이 요약'!$H$9:$H$128,MATCH($D39,'걸개처별 추이 요약'!$D$9:$D$128,0)),"")</f>
        <v>-0.227642027831012</v>
      </c>
      <c r="J39" s="20" t="n">
        <f aca="false">IFERROR(INDEX('걸개처별 추이 요약'!$Q$9:$Q$128,MATCH($D39,'걸개처별 추이 요약'!$D$9:$D$128,0)),"")</f>
        <v>-0.214196990813518</v>
      </c>
      <c r="K39" s="21" t="str">
        <f aca="false">IFERROR(INDEX('걸개처별 추이 요약'!$S$9:$S$128,MATCH($D39,'걸개처별 추이 요약'!$D$9:$D$128,0)),"")</f>
        <v>▲ 상승</v>
      </c>
      <c r="L39" s="21" t="str">
        <f aca="false">IFERROR(INDEX('걸개처별 추이 요약'!$T$9:$T$128,MATCH($D39,'걸개처별 추이 요약'!$D$9:$D$128,0)),"")</f>
        <v>▼ 하락</v>
      </c>
    </row>
    <row r="40" customFormat="false" ht="15" hidden="false" customHeight="false" outlineLevel="0" collapsed="false">
      <c r="C40" s="23" t="s">
        <v>67</v>
      </c>
      <c r="D40" s="19" t="s">
        <v>69</v>
      </c>
      <c r="E40" s="12" t="n">
        <f aca="false">IFERROR(INDEX('걸개처별 추이 요약'!$M$9:$M$128,MATCH($D40,'걸개처별 추이 요약'!$D$9:$D$128,0)),"")</f>
        <v>387374987</v>
      </c>
      <c r="F40" s="20" t="n">
        <f aca="false">IFERROR(INDEX('걸개처별 추이 요약'!$O$9:$O$128,MATCH($D40,'걸개처별 추이 요약'!$D$9:$D$128,0)),"")</f>
        <v>-0.0560116329685573</v>
      </c>
      <c r="G40" s="12" t="n">
        <f aca="false">IFERROR(INDEX('걸개처별 추이 요약'!$I$9:$I$128,MATCH($D40,'걸개처별 추이 요약'!$D$9:$D$128,0)),"")</f>
        <v>418767227</v>
      </c>
      <c r="H40" s="20" t="n">
        <f aca="false">IFERROR(INDEX('걸개처별 추이 요약'!$J$9:$J$128,MATCH($D40,'걸개처별 추이 요약'!$D$9:$D$128,0)),"")</f>
        <v>-0.174938453531689</v>
      </c>
      <c r="I40" s="20" t="n">
        <f aca="false">IFERROR(INDEX('걸개처별 추이 요약'!$H$9:$H$128,MATCH($D40,'걸개처별 추이 요약'!$D$9:$D$128,0)),"")</f>
        <v>-0.117398022886697</v>
      </c>
      <c r="J40" s="20" t="n">
        <f aca="false">IFERROR(INDEX('걸개처별 추이 요약'!$Q$9:$Q$128,MATCH($D40,'걸개처별 추이 요약'!$D$9:$D$128,0)),"")</f>
        <v>-0.283073700851316</v>
      </c>
      <c r="K40" s="21" t="str">
        <f aca="false">IFERROR(INDEX('걸개처별 추이 요약'!$S$9:$S$128,MATCH($D40,'걸개처별 추이 요약'!$D$9:$D$128,0)),"")</f>
        <v>▼ 하락</v>
      </c>
      <c r="L40" s="21" t="str">
        <f aca="false">IFERROR(INDEX('걸개처별 추이 요약'!$T$9:$T$128,MATCH($D40,'걸개처별 추이 요약'!$D$9:$D$128,0)),"")</f>
        <v>▼ 하락</v>
      </c>
    </row>
    <row r="41" customFormat="false" ht="15" hidden="false" customHeight="false" outlineLevel="0" collapsed="false">
      <c r="C41" s="23" t="s">
        <v>67</v>
      </c>
      <c r="D41" s="19" t="s">
        <v>70</v>
      </c>
      <c r="E41" s="12" t="n">
        <f aca="false">IFERROR(INDEX('걸개처별 추이 요약'!$M$9:$M$128,MATCH($D41,'걸개처별 추이 요약'!$D$9:$D$128,0)),"")</f>
        <v>189562578</v>
      </c>
      <c r="F41" s="20" t="n">
        <f aca="false">IFERROR(INDEX('걸개처별 추이 요약'!$O$9:$O$128,MATCH($D41,'걸개처별 추이 요약'!$D$9:$D$128,0)),"")</f>
        <v>-0.056491330504631</v>
      </c>
      <c r="G41" s="12" t="n">
        <f aca="false">IFERROR(INDEX('걸개처별 추이 요약'!$I$9:$I$128,MATCH($D41,'걸개처별 추이 요약'!$D$9:$D$128,0)),"")</f>
        <v>225175374</v>
      </c>
      <c r="H41" s="20" t="n">
        <f aca="false">IFERROR(INDEX('걸개처별 추이 요약'!$J$9:$J$128,MATCH($D41,'걸개처별 추이 요약'!$D$9:$D$128,0)),"")</f>
        <v>0.0437968262389825</v>
      </c>
      <c r="I41" s="20" t="n">
        <f aca="false">IFERROR(INDEX('걸개처별 추이 요약'!$H$9:$H$128,MATCH($D41,'걸개처별 추이 요약'!$D$9:$D$128,0)),"")</f>
        <v>-0.171847753684275</v>
      </c>
      <c r="J41" s="20" t="n">
        <f aca="false">IFERROR(INDEX('걸개처별 추이 요약'!$Q$9:$Q$128,MATCH($D41,'걸개처별 추이 요약'!$D$9:$D$128,0)),"")</f>
        <v>-0.439878538701289</v>
      </c>
      <c r="K41" s="21" t="str">
        <f aca="false">IFERROR(INDEX('걸개처별 추이 요약'!$S$9:$S$128,MATCH($D41,'걸개처별 추이 요약'!$D$9:$D$128,0)),"")</f>
        <v>▼ 하락</v>
      </c>
      <c r="L41" s="21" t="str">
        <f aca="false">IFERROR(INDEX('걸개처별 추이 요약'!$T$9:$T$128,MATCH($D41,'걸개처별 추이 요약'!$D$9:$D$128,0)),"")</f>
        <v>▼ 하락</v>
      </c>
    </row>
    <row r="42" customFormat="false" ht="15" hidden="false" customHeight="false" outlineLevel="0" collapsed="false">
      <c r="C42" s="23" t="s">
        <v>67</v>
      </c>
      <c r="D42" s="19" t="s">
        <v>71</v>
      </c>
      <c r="E42" s="12" t="n">
        <f aca="false">IFERROR(INDEX('걸개처별 추이 요약'!$M$9:$M$128,MATCH($D42,'걸개처별 추이 요약'!$D$9:$D$128,0)),"")</f>
        <v>56761865</v>
      </c>
      <c r="F42" s="20" t="n">
        <f aca="false">IFERROR(INDEX('걸개처별 추이 요약'!$O$9:$O$128,MATCH($D42,'걸개처별 추이 요약'!$D$9:$D$128,0)),"")</f>
        <v>-0.0764946737897023</v>
      </c>
      <c r="G42" s="12" t="n">
        <f aca="false">IFERROR(INDEX('걸개처별 추이 요약'!$I$9:$I$128,MATCH($D42,'걸개처별 추이 요약'!$D$9:$D$128,0)),"")</f>
        <v>63846025</v>
      </c>
      <c r="H42" s="20" t="n">
        <f aca="false">IFERROR(INDEX('걸개처별 추이 요약'!$J$9:$J$128,MATCH($D42,'걸개처별 추이 요약'!$D$9:$D$128,0)),"")</f>
        <v>-0.0505281347813494</v>
      </c>
      <c r="I42" s="20" t="n">
        <f aca="false">IFERROR(INDEX('걸개처별 추이 요약'!$H$9:$H$128,MATCH($D42,'걸개처별 추이 요약'!$D$9:$D$128,0)),"")</f>
        <v>-0.207712995373995</v>
      </c>
      <c r="J42" s="20" t="n">
        <f aca="false">IFERROR(INDEX('걸개처별 추이 요약'!$Q$9:$Q$128,MATCH($D42,'걸개처별 추이 요약'!$D$9:$D$128,0)),"")</f>
        <v>-0.298416665440974</v>
      </c>
      <c r="K42" s="21" t="str">
        <f aca="false">IFERROR(INDEX('걸개처별 추이 요약'!$S$9:$S$128,MATCH($D42,'걸개처별 추이 요약'!$D$9:$D$128,0)),"")</f>
        <v>▼ 하락</v>
      </c>
      <c r="L42" s="21" t="str">
        <f aca="false">IFERROR(INDEX('걸개처별 추이 요약'!$T$9:$T$128,MATCH($D42,'걸개처별 추이 요약'!$D$9:$D$128,0)),"")</f>
        <v>▼ 하락</v>
      </c>
    </row>
    <row r="43" customFormat="false" ht="15" hidden="false" customHeight="false" outlineLevel="0" collapsed="false">
      <c r="C43" s="23" t="s">
        <v>45</v>
      </c>
      <c r="D43" s="19" t="s">
        <v>72</v>
      </c>
      <c r="E43" s="12" t="n">
        <f aca="false">IFERROR(INDEX('걸개처별 추이 요약'!$M$9:$M$128,MATCH($D43,'걸개처별 추이 요약'!$D$9:$D$128,0)),"")</f>
        <v>908748440</v>
      </c>
      <c r="F43" s="20" t="n">
        <f aca="false">IFERROR(INDEX('걸개처별 추이 요약'!$O$9:$O$128,MATCH($D43,'걸개처별 추이 요약'!$D$9:$D$128,0)),"")</f>
        <v>-0.293536376548813</v>
      </c>
      <c r="G43" s="12" t="n">
        <f aca="false">IFERROR(INDEX('걸개처별 추이 요약'!$I$9:$I$128,MATCH($D43,'걸개처별 추이 요약'!$D$9:$D$128,0)),"")</f>
        <v>1095470420</v>
      </c>
      <c r="H43" s="20" t="n">
        <f aca="false">IFERROR(INDEX('걸개처별 추이 요약'!$J$9:$J$128,MATCH($D43,'걸개처별 추이 요약'!$D$9:$D$128,0)),"")</f>
        <v>-0.159632755044307</v>
      </c>
      <c r="I43" s="20" t="n">
        <f aca="false">IFERROR(INDEX('걸개처별 추이 요약'!$H$9:$H$128,MATCH($D43,'걸개처별 추이 요약'!$D$9:$D$128,0)),"")</f>
        <v>0.0445760317806165</v>
      </c>
      <c r="J43" s="20" t="n">
        <f aca="false">IFERROR(INDEX('걸개처별 추이 요약'!$Q$9:$Q$128,MATCH($D43,'걸개처별 추이 요약'!$D$9:$D$128,0)),"")</f>
        <v>0.0340339995708803</v>
      </c>
      <c r="K43" s="21" t="str">
        <f aca="false">IFERROR(INDEX('걸개처별 추이 요약'!$S$9:$S$128,MATCH($D43,'걸개처별 추이 요약'!$D$9:$D$128,0)),"")</f>
        <v>▼ 하락</v>
      </c>
      <c r="L43" s="21" t="str">
        <f aca="false">IFERROR(INDEX('걸개처별 추이 요약'!$T$9:$T$128,MATCH($D43,'걸개처별 추이 요약'!$D$9:$D$128,0)),"")</f>
        <v>― 보합</v>
      </c>
    </row>
    <row r="44" customFormat="false" ht="15" hidden="false" customHeight="false" outlineLevel="0" collapsed="false">
      <c r="C44" s="24" t="s">
        <v>73</v>
      </c>
      <c r="D44" s="19" t="s">
        <v>74</v>
      </c>
      <c r="E44" s="12" t="n">
        <f aca="false">IFERROR(INDEX('걸개처별 추이 요약'!$M$9:$M$128,MATCH($D44,'걸개처별 추이 요약'!$D$9:$D$128,0)),"")</f>
        <v>6465640601</v>
      </c>
      <c r="F44" s="20" t="n">
        <f aca="false">IFERROR(INDEX('걸개처별 추이 요약'!$O$9:$O$128,MATCH($D44,'걸개처별 추이 요약'!$D$9:$D$128,0)),"")</f>
        <v>0.00788010121231286</v>
      </c>
      <c r="G44" s="12" t="n">
        <f aca="false">IFERROR(INDEX('걸개처별 추이 요약'!$I$9:$I$128,MATCH($D44,'걸개처별 추이 요약'!$D$9:$D$128,0)),"")</f>
        <v>7100651508</v>
      </c>
      <c r="H44" s="20" t="n">
        <f aca="false">IFERROR(INDEX('걸개처별 추이 요약'!$J$9:$J$128,MATCH($D44,'걸개처별 추이 요약'!$D$9:$D$128,0)),"")</f>
        <v>-0.0661996972916391</v>
      </c>
      <c r="I44" s="20" t="n">
        <f aca="false">IFERROR(INDEX('걸개처별 추이 요약'!$H$9:$H$128,MATCH($D44,'걸개처별 추이 요약'!$D$9:$D$128,0)),"")</f>
        <v>0.113885967167083</v>
      </c>
      <c r="J44" s="20" t="n">
        <f aca="false">IFERROR(INDEX('걸개처별 추이 요약'!$Q$9:$Q$128,MATCH($D44,'걸개처별 추이 요약'!$D$9:$D$128,0)),"")</f>
        <v>0.318159191314921</v>
      </c>
      <c r="K44" s="21" t="str">
        <f aca="false">IFERROR(INDEX('걸개처별 추이 요약'!$S$9:$S$128,MATCH($D44,'걸개처별 추이 요약'!$D$9:$D$128,0)),"")</f>
        <v>― 보합</v>
      </c>
      <c r="L44" s="21" t="str">
        <f aca="false">IFERROR(INDEX('걸개처별 추이 요약'!$T$9:$T$128,MATCH($D44,'걸개처별 추이 요약'!$D$9:$D$128,0)),"")</f>
        <v>▲ 상승</v>
      </c>
    </row>
    <row r="47" customFormat="false" ht="16.4" hidden="false" customHeight="false" outlineLevel="0" collapsed="false">
      <c r="B47" s="3" t="s">
        <v>75</v>
      </c>
      <c r="C47" s="4"/>
      <c r="D47" s="4"/>
      <c r="E47" s="4"/>
      <c r="F47" s="4"/>
      <c r="G47" s="4"/>
      <c r="H47" s="4"/>
      <c r="I47" s="4"/>
      <c r="J47" s="4"/>
      <c r="K47" s="4"/>
    </row>
    <row r="48" customFormat="false" ht="15" hidden="false" customHeight="false" outlineLevel="0" collapsed="false">
      <c r="B48" s="15" t="s">
        <v>76</v>
      </c>
    </row>
    <row r="49" customFormat="false" ht="15" hidden="false" customHeight="true" outlineLevel="0" collapsed="false">
      <c r="B49" s="10" t="s">
        <v>77</v>
      </c>
      <c r="C49" s="9" t="s">
        <v>78</v>
      </c>
      <c r="D49" s="9" t="s">
        <v>79</v>
      </c>
      <c r="E49" s="9" t="s">
        <v>80</v>
      </c>
      <c r="F49" s="9"/>
      <c r="G49" s="9"/>
      <c r="H49" s="9" t="s">
        <v>81</v>
      </c>
      <c r="I49" s="9" t="s">
        <v>82</v>
      </c>
      <c r="J49" s="9"/>
      <c r="K49" s="9" t="s">
        <v>83</v>
      </c>
      <c r="L49" s="9" t="s">
        <v>84</v>
      </c>
    </row>
    <row r="50" customFormat="false" ht="57.75" hidden="false" customHeight="true" outlineLevel="0" collapsed="false">
      <c r="B50" s="25" t="n">
        <v>1</v>
      </c>
      <c r="C50" s="26" t="s">
        <v>85</v>
      </c>
      <c r="D50" s="27" t="s">
        <v>86</v>
      </c>
      <c r="E50" s="27" t="s">
        <v>87</v>
      </c>
      <c r="F50" s="27"/>
      <c r="G50" s="27"/>
      <c r="H50" s="27" t="s">
        <v>88</v>
      </c>
      <c r="I50" s="27" t="s">
        <v>89</v>
      </c>
      <c r="J50" s="27"/>
      <c r="K50" s="28"/>
      <c r="L50" s="28"/>
    </row>
    <row r="51" customFormat="false" ht="57.75" hidden="false" customHeight="true" outlineLevel="0" collapsed="false">
      <c r="B51" s="25" t="n">
        <v>2</v>
      </c>
      <c r="C51" s="26" t="s">
        <v>85</v>
      </c>
      <c r="D51" s="27" t="s">
        <v>90</v>
      </c>
      <c r="E51" s="27" t="s">
        <v>91</v>
      </c>
      <c r="F51" s="27"/>
      <c r="G51" s="27"/>
      <c r="H51" s="27" t="s">
        <v>92</v>
      </c>
      <c r="I51" s="27" t="s">
        <v>93</v>
      </c>
      <c r="J51" s="27"/>
      <c r="K51" s="28"/>
      <c r="L51" s="28"/>
    </row>
    <row r="52" customFormat="false" ht="57.75" hidden="false" customHeight="true" outlineLevel="0" collapsed="false">
      <c r="B52" s="25" t="n">
        <v>3</v>
      </c>
      <c r="C52" s="26" t="s">
        <v>85</v>
      </c>
      <c r="D52" s="27" t="s">
        <v>94</v>
      </c>
      <c r="E52" s="27" t="s">
        <v>95</v>
      </c>
      <c r="F52" s="27"/>
      <c r="G52" s="27"/>
      <c r="H52" s="27" t="s">
        <v>96</v>
      </c>
      <c r="I52" s="27" t="s">
        <v>97</v>
      </c>
      <c r="J52" s="27"/>
      <c r="K52" s="28"/>
      <c r="L52" s="28"/>
    </row>
    <row r="53" customFormat="false" ht="57.75" hidden="false" customHeight="true" outlineLevel="0" collapsed="false">
      <c r="B53" s="25" t="n">
        <v>4</v>
      </c>
      <c r="C53" s="26" t="s">
        <v>85</v>
      </c>
      <c r="D53" s="27" t="s">
        <v>98</v>
      </c>
      <c r="E53" s="29" t="s">
        <v>99</v>
      </c>
      <c r="F53" s="29"/>
      <c r="G53" s="29"/>
      <c r="H53" s="27" t="s">
        <v>100</v>
      </c>
      <c r="I53" s="27" t="s">
        <v>101</v>
      </c>
      <c r="J53" s="27"/>
      <c r="K53" s="28"/>
      <c r="L53" s="28"/>
    </row>
    <row r="54" customFormat="false" ht="57.75" hidden="false" customHeight="true" outlineLevel="0" collapsed="false">
      <c r="B54" s="25" t="n">
        <v>5</v>
      </c>
      <c r="C54" s="26" t="s">
        <v>85</v>
      </c>
      <c r="D54" s="27" t="s">
        <v>102</v>
      </c>
      <c r="E54" s="27" t="s">
        <v>103</v>
      </c>
      <c r="F54" s="27"/>
      <c r="G54" s="27"/>
      <c r="H54" s="27" t="s">
        <v>104</v>
      </c>
      <c r="I54" s="27" t="s">
        <v>105</v>
      </c>
      <c r="J54" s="27"/>
      <c r="K54" s="28"/>
      <c r="L54" s="28"/>
    </row>
    <row r="55" customFormat="false" ht="57.75" hidden="false" customHeight="true" outlineLevel="0" collapsed="false">
      <c r="B55" s="25" t="n">
        <v>6</v>
      </c>
      <c r="C55" s="30" t="s">
        <v>106</v>
      </c>
      <c r="D55" s="27" t="s">
        <v>107</v>
      </c>
      <c r="E55" s="29" t="s">
        <v>108</v>
      </c>
      <c r="F55" s="29"/>
      <c r="G55" s="29"/>
      <c r="H55" s="27" t="s">
        <v>109</v>
      </c>
      <c r="I55" s="27" t="s">
        <v>110</v>
      </c>
      <c r="J55" s="27"/>
      <c r="K55" s="28"/>
      <c r="L55" s="28"/>
    </row>
    <row r="56" customFormat="false" ht="57.75" hidden="false" customHeight="true" outlineLevel="0" collapsed="false">
      <c r="B56" s="25" t="n">
        <v>7</v>
      </c>
      <c r="C56" s="30" t="s">
        <v>106</v>
      </c>
      <c r="D56" s="27" t="s">
        <v>111</v>
      </c>
      <c r="E56" s="29" t="s">
        <v>112</v>
      </c>
      <c r="F56" s="29"/>
      <c r="G56" s="29"/>
      <c r="H56" s="27" t="s">
        <v>109</v>
      </c>
      <c r="I56" s="27" t="s">
        <v>110</v>
      </c>
      <c r="J56" s="27"/>
      <c r="K56" s="28"/>
      <c r="L56" s="28"/>
    </row>
    <row r="57" customFormat="false" ht="57.75" hidden="false" customHeight="true" outlineLevel="0" collapsed="false">
      <c r="B57" s="25" t="n">
        <v>8</v>
      </c>
      <c r="C57" s="30" t="s">
        <v>106</v>
      </c>
      <c r="D57" s="27" t="s">
        <v>113</v>
      </c>
      <c r="E57" s="29" t="s">
        <v>114</v>
      </c>
      <c r="F57" s="29"/>
      <c r="G57" s="29"/>
      <c r="H57" s="27" t="s">
        <v>115</v>
      </c>
      <c r="I57" s="27" t="s">
        <v>116</v>
      </c>
      <c r="J57" s="27"/>
      <c r="K57" s="28"/>
      <c r="L57" s="28"/>
    </row>
    <row r="58" customFormat="false" ht="57.75" hidden="false" customHeight="true" outlineLevel="0" collapsed="false">
      <c r="B58" s="25" t="n">
        <v>9</v>
      </c>
      <c r="C58" s="31" t="s">
        <v>117</v>
      </c>
      <c r="D58" s="27" t="s">
        <v>118</v>
      </c>
      <c r="E58" s="29" t="s">
        <v>119</v>
      </c>
      <c r="F58" s="29"/>
      <c r="G58" s="29"/>
      <c r="H58" s="27" t="s">
        <v>120</v>
      </c>
      <c r="I58" s="27" t="s">
        <v>121</v>
      </c>
      <c r="J58" s="27"/>
      <c r="K58" s="28"/>
      <c r="L58" s="28"/>
    </row>
    <row r="59" customFormat="false" ht="57.75" hidden="false" customHeight="true" outlineLevel="0" collapsed="false">
      <c r="B59" s="25" t="n">
        <v>10</v>
      </c>
      <c r="C59" s="31" t="s">
        <v>117</v>
      </c>
      <c r="D59" s="27" t="s">
        <v>122</v>
      </c>
      <c r="E59" s="29" t="s">
        <v>123</v>
      </c>
      <c r="F59" s="29"/>
      <c r="G59" s="29"/>
      <c r="H59" s="27" t="s">
        <v>124</v>
      </c>
      <c r="I59" s="27" t="s">
        <v>125</v>
      </c>
      <c r="J59" s="27"/>
      <c r="K59" s="28"/>
      <c r="L59" s="28"/>
    </row>
    <row r="60" customFormat="false" ht="57.75" hidden="false" customHeight="true" outlineLevel="0" collapsed="false">
      <c r="B60" s="25" t="n">
        <v>11</v>
      </c>
      <c r="C60" s="31" t="s">
        <v>117</v>
      </c>
      <c r="D60" s="27" t="s">
        <v>126</v>
      </c>
      <c r="E60" s="27" t="s">
        <v>127</v>
      </c>
      <c r="F60" s="27"/>
      <c r="G60" s="27"/>
      <c r="H60" s="27" t="s">
        <v>120</v>
      </c>
      <c r="I60" s="27" t="s">
        <v>128</v>
      </c>
      <c r="J60" s="27"/>
      <c r="K60" s="28"/>
      <c r="L60" s="28"/>
    </row>
    <row r="61" customFormat="false" ht="57.75" hidden="false" customHeight="true" outlineLevel="0" collapsed="false">
      <c r="B61" s="25" t="n">
        <v>12</v>
      </c>
      <c r="C61" s="31" t="s">
        <v>117</v>
      </c>
      <c r="D61" s="27" t="s">
        <v>129</v>
      </c>
      <c r="E61" s="27" t="s">
        <v>130</v>
      </c>
      <c r="F61" s="27"/>
      <c r="G61" s="27"/>
      <c r="H61" s="27" t="s">
        <v>131</v>
      </c>
      <c r="I61" s="27" t="s">
        <v>132</v>
      </c>
      <c r="J61" s="27"/>
      <c r="K61" s="28"/>
      <c r="L61" s="28"/>
    </row>
    <row r="62" customFormat="false" ht="57.75" hidden="false" customHeight="true" outlineLevel="0" collapsed="false">
      <c r="B62" s="25" t="n">
        <v>13</v>
      </c>
      <c r="C62" s="31" t="s">
        <v>117</v>
      </c>
      <c r="D62" s="27" t="s">
        <v>133</v>
      </c>
      <c r="E62" s="29" t="s">
        <v>134</v>
      </c>
      <c r="F62" s="29"/>
      <c r="G62" s="29"/>
      <c r="H62" s="27" t="s">
        <v>135</v>
      </c>
      <c r="I62" s="27" t="s">
        <v>136</v>
      </c>
      <c r="J62" s="27"/>
      <c r="K62" s="28"/>
      <c r="L62" s="28"/>
    </row>
    <row r="63" customFormat="false" ht="57.75" hidden="false" customHeight="true" outlineLevel="0" collapsed="false">
      <c r="B63" s="25" t="n">
        <v>14</v>
      </c>
      <c r="C63" s="32" t="s">
        <v>137</v>
      </c>
      <c r="D63" s="29" t="s">
        <v>138</v>
      </c>
      <c r="E63" s="27" t="s">
        <v>139</v>
      </c>
      <c r="F63" s="27"/>
      <c r="G63" s="27"/>
      <c r="H63" s="29" t="s">
        <v>140</v>
      </c>
      <c r="I63" s="27" t="s">
        <v>141</v>
      </c>
      <c r="J63" s="27"/>
      <c r="K63" s="28"/>
      <c r="L63" s="28"/>
    </row>
    <row r="64" customFormat="false" ht="57.75" hidden="false" customHeight="true" outlineLevel="0" collapsed="false">
      <c r="B64" s="25" t="n">
        <v>15</v>
      </c>
      <c r="C64" s="32" t="s">
        <v>137</v>
      </c>
      <c r="D64" s="29" t="s">
        <v>142</v>
      </c>
      <c r="E64" s="29" t="s">
        <v>143</v>
      </c>
      <c r="F64" s="29"/>
      <c r="G64" s="29"/>
      <c r="H64" s="27" t="s">
        <v>144</v>
      </c>
      <c r="I64" s="27" t="s">
        <v>145</v>
      </c>
      <c r="J64" s="27"/>
      <c r="K64" s="28"/>
      <c r="L64" s="28"/>
    </row>
    <row r="65" customFormat="false" ht="57.75" hidden="false" customHeight="true" outlineLevel="0" collapsed="false">
      <c r="B65" s="25" t="n">
        <v>16</v>
      </c>
      <c r="C65" s="32" t="s">
        <v>137</v>
      </c>
      <c r="D65" s="27" t="s">
        <v>146</v>
      </c>
      <c r="E65" s="27" t="s">
        <v>147</v>
      </c>
      <c r="F65" s="27"/>
      <c r="G65" s="27"/>
      <c r="H65" s="27" t="s">
        <v>148</v>
      </c>
      <c r="I65" s="27" t="s">
        <v>149</v>
      </c>
      <c r="J65" s="27"/>
      <c r="K65" s="28"/>
      <c r="L65" s="28"/>
    </row>
    <row r="66" customFormat="false" ht="57.75" hidden="false" customHeight="true" outlineLevel="0" collapsed="false">
      <c r="B66" s="25" t="n">
        <v>17</v>
      </c>
      <c r="C66" s="32" t="s">
        <v>137</v>
      </c>
      <c r="D66" s="27" t="s">
        <v>150</v>
      </c>
      <c r="E66" s="27" t="s">
        <v>151</v>
      </c>
      <c r="F66" s="27"/>
      <c r="G66" s="27"/>
      <c r="H66" s="27" t="s">
        <v>152</v>
      </c>
      <c r="I66" s="27" t="s">
        <v>153</v>
      </c>
      <c r="J66" s="27"/>
      <c r="K66" s="28"/>
      <c r="L66" s="28"/>
    </row>
  </sheetData>
  <mergeCells count="66">
    <mergeCell ref="B5:D5"/>
    <mergeCell ref="G5:I5"/>
    <mergeCell ref="B6:D6"/>
    <mergeCell ref="G6:I6"/>
    <mergeCell ref="B7:D7"/>
    <mergeCell ref="G7:I7"/>
    <mergeCell ref="B8:D8"/>
    <mergeCell ref="G8:I8"/>
    <mergeCell ref="B9:D9"/>
    <mergeCell ref="G9:I9"/>
    <mergeCell ref="B12:C12"/>
    <mergeCell ref="B13:C13"/>
    <mergeCell ref="B14:C14"/>
    <mergeCell ref="B17:C17"/>
    <mergeCell ref="B18:C18"/>
    <mergeCell ref="B19:C19"/>
    <mergeCell ref="B23:C23"/>
    <mergeCell ref="D23:L23"/>
    <mergeCell ref="B24:C24"/>
    <mergeCell ref="D24:L24"/>
    <mergeCell ref="B25:C25"/>
    <mergeCell ref="D25:L25"/>
    <mergeCell ref="B26:C26"/>
    <mergeCell ref="D26:L26"/>
    <mergeCell ref="B27:C27"/>
    <mergeCell ref="D27:L27"/>
    <mergeCell ref="B28:C28"/>
    <mergeCell ref="D28:L28"/>
    <mergeCell ref="B29:C29"/>
    <mergeCell ref="D29:L29"/>
    <mergeCell ref="E49:G49"/>
    <mergeCell ref="I49:J49"/>
    <mergeCell ref="E50:G50"/>
    <mergeCell ref="I50:J50"/>
    <mergeCell ref="E51:G51"/>
    <mergeCell ref="I51:J51"/>
    <mergeCell ref="E52:G52"/>
    <mergeCell ref="I52:J52"/>
    <mergeCell ref="E53:G53"/>
    <mergeCell ref="I53:J53"/>
    <mergeCell ref="E54:G54"/>
    <mergeCell ref="I54:J54"/>
    <mergeCell ref="E55:G55"/>
    <mergeCell ref="I55:J55"/>
    <mergeCell ref="E56:G56"/>
    <mergeCell ref="I56:J56"/>
    <mergeCell ref="E57:G57"/>
    <mergeCell ref="I57:J57"/>
    <mergeCell ref="E58:G58"/>
    <mergeCell ref="I58:J58"/>
    <mergeCell ref="E59:G59"/>
    <mergeCell ref="I59:J59"/>
    <mergeCell ref="E60:G60"/>
    <mergeCell ref="I60:J60"/>
    <mergeCell ref="E61:G61"/>
    <mergeCell ref="I61:J61"/>
    <mergeCell ref="E62:G62"/>
    <mergeCell ref="I62:J62"/>
    <mergeCell ref="E63:G63"/>
    <mergeCell ref="I63:J63"/>
    <mergeCell ref="E64:G64"/>
    <mergeCell ref="I64:J64"/>
    <mergeCell ref="E65:G65"/>
    <mergeCell ref="I65:J65"/>
    <mergeCell ref="E66:G66"/>
    <mergeCell ref="I66:J66"/>
  </mergeCells>
  <conditionalFormatting sqref="E14:L14">
    <cfRule type="cellIs" priority="2" operator="greaterThanOrEqual" aboveAverage="0" equalAverage="0" bottom="0" percent="0" rank="0" text="" dxfId="0">
      <formula>0.05</formula>
    </cfRule>
    <cfRule type="cellIs" priority="3" operator="lessThanOrEqual" aboveAverage="0" equalAverage="0" bottom="0" percent="0" rank="0" text="" dxfId="1">
      <formula>-0.05</formula>
    </cfRule>
  </conditionalFormatting>
  <conditionalFormatting sqref="F34:F44">
    <cfRule type="cellIs" priority="4" operator="greaterThanOrEqual" aboveAverage="0" equalAverage="0" bottom="0" percent="0" rank="0" text="" dxfId="0">
      <formula>0.05</formula>
    </cfRule>
    <cfRule type="cellIs" priority="5" operator="lessThanOrEqual" aboveAverage="0" equalAverage="0" bottom="0" percent="0" rank="0" text="" dxfId="1">
      <formula>-0.05</formula>
    </cfRule>
  </conditionalFormatting>
  <conditionalFormatting sqref="H34:H44">
    <cfRule type="cellIs" priority="6" operator="greaterThanOrEqual" aboveAverage="0" equalAverage="0" bottom="0" percent="0" rank="0" text="" dxfId="0">
      <formula>0.05</formula>
    </cfRule>
    <cfRule type="cellIs" priority="7" operator="lessThanOrEqual" aboveAverage="0" equalAverage="0" bottom="0" percent="0" rank="0" text="" dxfId="1">
      <formula>-0.05</formula>
    </cfRule>
  </conditionalFormatting>
  <conditionalFormatting sqref="I34:I44">
    <cfRule type="cellIs" priority="8" operator="greaterThanOrEqual" aboveAverage="0" equalAverage="0" bottom="0" percent="0" rank="0" text="" dxfId="0">
      <formula>0.05</formula>
    </cfRule>
    <cfRule type="cellIs" priority="9" operator="lessThanOrEqual" aboveAverage="0" equalAverage="0" bottom="0" percent="0" rank="0" text="" dxfId="1">
      <formula>-0.05</formula>
    </cfRule>
  </conditionalFormatting>
  <conditionalFormatting sqref="J34:J44">
    <cfRule type="cellIs" priority="10" operator="greaterThanOrEqual" aboveAverage="0" equalAverage="0" bottom="0" percent="0" rank="0" text="" dxfId="0">
      <formula>0.05</formula>
    </cfRule>
    <cfRule type="cellIs" priority="11" operator="lessThanOrEqual" aboveAverage="0" equalAverage="0" bottom="0" percent="0" rank="0" text="" dxfId="1">
      <formula>-0.05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8" topLeftCell="E9" activePane="bottomRight" state="frozen"/>
      <selection pane="topLeft" activeCell="A1" activeCellId="0" sqref="A1"/>
      <selection pane="topRight" activeCell="E1" activeCellId="0" sqref="E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17"/>
    <col collapsed="false" customWidth="true" hidden="false" outlineLevel="0" max="4" min="4" style="0" width="34"/>
    <col collapsed="false" customWidth="true" hidden="false" outlineLevel="0" max="5" min="5" style="0" width="9"/>
    <col collapsed="false" customWidth="true" hidden="false" outlineLevel="0" max="7" min="6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4" min="13" style="0" width="12"/>
    <col collapsed="false" customWidth="true" hidden="false" outlineLevel="0" max="15" min="15" style="0" width="10"/>
    <col collapsed="false" customWidth="true" hidden="false" outlineLevel="0" max="16" min="16" style="0" width="12"/>
    <col collapsed="false" customWidth="true" hidden="false" outlineLevel="0" max="18" min="17" style="0" width="10"/>
    <col collapsed="false" customWidth="true" hidden="false" outlineLevel="0" max="20" min="19" style="0" width="11"/>
    <col collapsed="false" customWidth="true" hidden="false" outlineLevel="0" max="21" min="21" style="0" width="50"/>
  </cols>
  <sheetData>
    <row r="1" customFormat="false" ht="19.4" hidden="false" customHeight="false" outlineLevel="0" collapsed="false">
      <c r="A1" s="33" t="s">
        <v>154</v>
      </c>
    </row>
    <row r="2" customFormat="false" ht="15" hidden="false" customHeight="false" outlineLevel="0" collapsed="false">
      <c r="A2" s="2" t="s">
        <v>155</v>
      </c>
    </row>
    <row r="3" customFormat="false" ht="15" hidden="false" customHeight="false" outlineLevel="0" collapsed="false">
      <c r="B3" s="34" t="s">
        <v>156</v>
      </c>
      <c r="C3" s="34"/>
      <c r="D3" s="34" t="s">
        <v>4</v>
      </c>
      <c r="E3" s="34"/>
      <c r="F3" s="34" t="s">
        <v>5</v>
      </c>
      <c r="G3" s="34"/>
      <c r="H3" s="35" t="s">
        <v>9</v>
      </c>
      <c r="I3" s="35"/>
      <c r="J3" s="34" t="s">
        <v>157</v>
      </c>
      <c r="K3" s="34"/>
      <c r="L3" s="34" t="s">
        <v>158</v>
      </c>
      <c r="M3" s="34"/>
    </row>
    <row r="4" customFormat="false" ht="16.15" hidden="false" customHeight="false" outlineLevel="0" collapsed="false">
      <c r="B4" s="36" t="n">
        <f aca="false">'주별 매출'!BM5</f>
        <v>5010739067</v>
      </c>
      <c r="C4" s="36"/>
      <c r="D4" s="37" t="n">
        <f aca="false">'주별 매출'!BM5/'주별 매출'!BL5-1</f>
        <v>-0.0195553981160291</v>
      </c>
      <c r="E4" s="37"/>
      <c r="F4" s="37" t="n">
        <f aca="false">'주별 매출'!BM5/'주별 매출'!M5-1</f>
        <v>0.241463509865449</v>
      </c>
      <c r="G4" s="37"/>
      <c r="H4" s="37" t="n">
        <f aca="false">'월별 매출'!U5</f>
        <v>-0.0626758730834843</v>
      </c>
      <c r="I4" s="37"/>
      <c r="J4" s="38" t="n">
        <f aca="false">COUNTIF(S9:S500,"▲*")</f>
        <v>16</v>
      </c>
      <c r="K4" s="38"/>
      <c r="L4" s="38" t="n">
        <f aca="false">COUNTIF(S9:S500,"▼*")</f>
        <v>55</v>
      </c>
      <c r="M4" s="38"/>
    </row>
    <row r="6" customFormat="false" ht="15" hidden="false" customHeight="false" outlineLevel="0" collapsed="false">
      <c r="F6" s="39" t="s">
        <v>159</v>
      </c>
      <c r="K6" s="39" t="s">
        <v>160</v>
      </c>
    </row>
    <row r="7" customFormat="false" ht="31.5" hidden="false" customHeight="true" outlineLevel="0" collapsed="false">
      <c r="A7" s="9" t="s">
        <v>161</v>
      </c>
      <c r="B7" s="9" t="s">
        <v>14</v>
      </c>
      <c r="C7" s="9" t="s">
        <v>162</v>
      </c>
      <c r="D7" s="9" t="s">
        <v>53</v>
      </c>
      <c r="E7" s="9" t="s">
        <v>163</v>
      </c>
      <c r="F7" s="10" t="s">
        <v>164</v>
      </c>
      <c r="G7" s="10" t="s">
        <v>165</v>
      </c>
      <c r="H7" s="10" t="s">
        <v>166</v>
      </c>
      <c r="I7" s="10" t="s">
        <v>56</v>
      </c>
      <c r="J7" s="10" t="s">
        <v>167</v>
      </c>
      <c r="K7" s="9" t="s">
        <v>168</v>
      </c>
      <c r="L7" s="9" t="s">
        <v>4</v>
      </c>
      <c r="M7" s="9" t="s">
        <v>169</v>
      </c>
      <c r="N7" s="9" t="s">
        <v>170</v>
      </c>
      <c r="O7" s="10" t="s">
        <v>171</v>
      </c>
      <c r="P7" s="9" t="s">
        <v>172</v>
      </c>
      <c r="Q7" s="9" t="s">
        <v>173</v>
      </c>
      <c r="R7" s="9" t="s">
        <v>174</v>
      </c>
      <c r="S7" s="9" t="s">
        <v>175</v>
      </c>
      <c r="T7" s="9" t="s">
        <v>176</v>
      </c>
      <c r="U7" s="9" t="s">
        <v>177</v>
      </c>
    </row>
    <row r="8" customFormat="false" ht="15" hidden="false" customHeight="false" outlineLevel="0" collapsed="false">
      <c r="A8" s="40"/>
      <c r="B8" s="41" t="s">
        <v>178</v>
      </c>
      <c r="C8" s="40"/>
      <c r="D8" s="41" t="s">
        <v>179</v>
      </c>
      <c r="E8" s="42" t="n">
        <f aca="false">'주별 매출'!D5</f>
        <v>3976</v>
      </c>
      <c r="F8" s="43" t="n">
        <f aca="false">AVERAGE('월별 매출'!D5:F5)</f>
        <v>20656382929.6667</v>
      </c>
      <c r="G8" s="43" t="n">
        <f aca="false">AVERAGE('월별 매출'!J5:L5)</f>
        <v>22524314890</v>
      </c>
      <c r="H8" s="44" t="n">
        <f aca="false">IF(F8=0,"",G8/F8-1)</f>
        <v>0.0904288019201374</v>
      </c>
      <c r="I8" s="43" t="n">
        <f aca="false">'월별 매출'!L5</f>
        <v>21340213998</v>
      </c>
      <c r="J8" s="44" t="n">
        <f aca="false">'월별 매출'!U5</f>
        <v>-0.0626758730834843</v>
      </c>
      <c r="K8" s="43" t="n">
        <f aca="false">'주별 매출'!BM5</f>
        <v>5010739067</v>
      </c>
      <c r="L8" s="44" t="n">
        <f aca="false">IF('주별 매출'!BL5=0,"",K8/'주별 매출'!BL5-1)</f>
        <v>-0.0195553981160291</v>
      </c>
      <c r="M8" s="43" t="n">
        <f aca="false">SUM('주별 매출'!BJ5:BM5)</f>
        <v>19961978700</v>
      </c>
      <c r="N8" s="43" t="n">
        <f aca="false">SUM('주별 매출'!BF5:BI5)</f>
        <v>20608626137</v>
      </c>
      <c r="O8" s="44" t="n">
        <f aca="false">IF(N8=0,"",M8/N8-1)</f>
        <v>-0.0313775131200538</v>
      </c>
      <c r="P8" s="43" t="n">
        <f aca="false">'주별 매출'!M5</f>
        <v>4036154931</v>
      </c>
      <c r="Q8" s="44" t="n">
        <f aca="false">IF(P8=0,"",K8/P8-1)</f>
        <v>0.241463509865449</v>
      </c>
      <c r="R8" s="44" t="n">
        <f aca="false">IF($M$8=0,"",M8/$M$8)</f>
        <v>1</v>
      </c>
      <c r="S8" s="24" t="str">
        <f aca="false">IF(AND(M8=0,N8=0),"-",IF(N8=0,"-",IF(M8=0,"■ 매출 중단",IF(O8&gt;=0.05,"▲ 상승",IF(O8&lt;=-0.05,"▼ 하락","― 보합")))))</f>
        <v>― 보합</v>
      </c>
      <c r="T8" s="24" t="str">
        <f aca="false">IF(AND(F8=0,G8=0),"-",IF(F8=0,"-",IF(G8=0,"■ 매출 중단",IF(H8&gt;=0.05,"▲ 상승",IF(H8&lt;=-0.05,"▼ 하락","― 보합")))))</f>
        <v>▲ 상승</v>
      </c>
      <c r="U8" s="45" t="s">
        <v>180</v>
      </c>
    </row>
    <row r="9" customFormat="false" ht="15" hidden="false" customHeight="false" outlineLevel="0" collapsed="false">
      <c r="A9" s="21" t="n">
        <v>1</v>
      </c>
      <c r="B9" s="19" t="s">
        <v>181</v>
      </c>
      <c r="C9" s="22" t="s">
        <v>182</v>
      </c>
      <c r="D9" s="19" t="s">
        <v>74</v>
      </c>
      <c r="E9" s="46" t="n">
        <f aca="false">'주별 매출'!D81</f>
        <v>970</v>
      </c>
      <c r="F9" s="12" t="n">
        <f aca="false">AVERAGE('월별 매출'!D81:F81)</f>
        <v>6711224359</v>
      </c>
      <c r="G9" s="12" t="n">
        <f aca="false">AVERAGE('월별 매출'!J81:L81)</f>
        <v>7475538636</v>
      </c>
      <c r="H9" s="20" t="n">
        <f aca="false">IF(F9=0,"",G9/F9-1)</f>
        <v>0.113885967167083</v>
      </c>
      <c r="I9" s="12" t="n">
        <f aca="false">'월별 매출'!L81</f>
        <v>7100651508</v>
      </c>
      <c r="J9" s="20" t="n">
        <f aca="false">'월별 매출'!U81</f>
        <v>-0.0661996972916391</v>
      </c>
      <c r="K9" s="12" t="n">
        <f aca="false">'주별 매출'!BM81</f>
        <v>1540682457</v>
      </c>
      <c r="L9" s="20" t="n">
        <f aca="false">IF('주별 매출'!BL81=0,"",K9/'주별 매출'!BL81-1)</f>
        <v>-0.0227113066997441</v>
      </c>
      <c r="M9" s="12" t="n">
        <f aca="false">SUM('주별 매출'!BJ81:BM81)</f>
        <v>6465640601</v>
      </c>
      <c r="N9" s="12" t="n">
        <f aca="false">SUM('주별 매출'!BF81:BI81)</f>
        <v>6415089050</v>
      </c>
      <c r="O9" s="20" t="n">
        <f aca="false">IF(N9=0,"",M9/N9-1)</f>
        <v>0.00788010121231286</v>
      </c>
      <c r="P9" s="12" t="n">
        <f aca="false">'주별 매출'!M81</f>
        <v>1168813651</v>
      </c>
      <c r="Q9" s="20" t="n">
        <f aca="false">IF(P9=0,"",K9/P9-1)</f>
        <v>0.318159191314921</v>
      </c>
      <c r="R9" s="20" t="n">
        <f aca="false">IF($M$8=0,"",M9/$M$8)</f>
        <v>0.323897780784627</v>
      </c>
      <c r="S9" s="21" t="str">
        <f aca="false">IF(AND(M9=0,N9=0),"-",IF(N9=0,"● 신규 발생",IF(M9=0,"■ 매출 중단",IF(O9&gt;=0.05,"▲ 상승",IF(O9&lt;=-0.05,"▼ 하락","― 보합")))))</f>
        <v>― 보합</v>
      </c>
      <c r="T9" s="21" t="str">
        <f aca="false">IF(AND(F9=0,G9=0),"-",IF(F9=0,"● 신규 발생",IF(G9=0,"■ 매출 중단",IF(H9&gt;=0.05,"▲ 상승",IF(H9&lt;=-0.05,"▼ 하락","― 보합")))))</f>
        <v>▲ 상승</v>
      </c>
      <c r="U9" s="47"/>
    </row>
    <row r="10" customFormat="false" ht="15" hidden="false" customHeight="false" outlineLevel="0" collapsed="false">
      <c r="A10" s="21" t="n">
        <v>2</v>
      </c>
      <c r="B10" s="19" t="s">
        <v>183</v>
      </c>
      <c r="C10" s="22" t="s">
        <v>184</v>
      </c>
      <c r="D10" s="19" t="s">
        <v>62</v>
      </c>
      <c r="E10" s="46" t="n">
        <f aca="false">'주별 매출'!D11</f>
        <v>136</v>
      </c>
      <c r="F10" s="12" t="n">
        <f aca="false">AVERAGE('월별 매출'!D11:F11)</f>
        <v>524344920.333333</v>
      </c>
      <c r="G10" s="12" t="n">
        <f aca="false">AVERAGE('월별 매출'!J11:L11)</f>
        <v>1806581481.33333</v>
      </c>
      <c r="H10" s="20" t="n">
        <f aca="false">IF(F10=0,"",G10/F10-1)</f>
        <v>2.44540666129628</v>
      </c>
      <c r="I10" s="12" t="n">
        <f aca="false">'월별 매출'!L11</f>
        <v>1836670965</v>
      </c>
      <c r="J10" s="20" t="n">
        <f aca="false">'월별 매출'!U11</f>
        <v>0.0181352912078685</v>
      </c>
      <c r="K10" s="12" t="n">
        <f aca="false">'주별 매출'!BM11</f>
        <v>381044155</v>
      </c>
      <c r="L10" s="20" t="n">
        <f aca="false">IF('주별 매출'!BL11=0,"",K10/'주별 매출'!BL11-1)</f>
        <v>-0.124630304261763</v>
      </c>
      <c r="M10" s="12" t="n">
        <f aca="false">SUM('주별 매출'!BJ11:BM11)</f>
        <v>1741354296</v>
      </c>
      <c r="N10" s="12" t="n">
        <f aca="false">SUM('주별 매출'!BF11:BI11)</f>
        <v>1619576529</v>
      </c>
      <c r="O10" s="20" t="n">
        <f aca="false">IF(N10=0,"",M10/N10-1)</f>
        <v>0.0751911162081307</v>
      </c>
      <c r="P10" s="12" t="n">
        <f aca="false">'주별 매출'!M11</f>
        <v>0</v>
      </c>
      <c r="Q10" s="20" t="str">
        <f aca="false">IF(P10=0,"",K10/P10-1)</f>
        <v/>
      </c>
      <c r="R10" s="20" t="n">
        <f aca="false">IF($M$8=0,"",M10/$M$8)</f>
        <v>0.0872335514514901</v>
      </c>
      <c r="S10" s="21" t="str">
        <f aca="false">IF(AND(M10=0,N10=0),"-",IF(N10=0,"● 신규 발생",IF(M10=0,"■ 매출 중단",IF(O10&gt;=0.05,"▲ 상승",IF(O10&lt;=-0.05,"▼ 하락","― 보합")))))</f>
        <v>▲ 상승</v>
      </c>
      <c r="T10" s="21" t="str">
        <f aca="false">IF(AND(F10=0,G10=0),"-",IF(F10=0,"● 신규 발생",IF(G10=0,"■ 매출 중단",IF(H10&gt;=0.05,"▲ 상승",IF(H10&lt;=-0.05,"▼ 하락","― 보합")))))</f>
        <v>▲ 상승</v>
      </c>
      <c r="U10" s="47"/>
    </row>
    <row r="11" customFormat="false" ht="15" hidden="false" customHeight="false" outlineLevel="0" collapsed="false">
      <c r="A11" s="21" t="n">
        <v>3</v>
      </c>
      <c r="B11" s="19" t="s">
        <v>181</v>
      </c>
      <c r="C11" s="22" t="s">
        <v>185</v>
      </c>
      <c r="D11" s="19" t="s">
        <v>186</v>
      </c>
      <c r="E11" s="46" t="n">
        <f aca="false">'주별 매출'!D79</f>
        <v>196</v>
      </c>
      <c r="F11" s="12" t="n">
        <f aca="false">AVERAGE('월별 매출'!D79:F79)</f>
        <v>1096716047.66667</v>
      </c>
      <c r="G11" s="12" t="n">
        <f aca="false">AVERAGE('월별 매출'!J79:L79)</f>
        <v>1060876691.66667</v>
      </c>
      <c r="H11" s="20" t="n">
        <f aca="false">IF(F11=0,"",G11/F11-1)</f>
        <v>-0.0326787923603841</v>
      </c>
      <c r="I11" s="12" t="n">
        <f aca="false">'월별 매출'!L79</f>
        <v>1033837396</v>
      </c>
      <c r="J11" s="20" t="n">
        <f aca="false">'월별 매출'!U79</f>
        <v>-0.0353044073611669</v>
      </c>
      <c r="K11" s="12" t="n">
        <f aca="false">'주별 매출'!BM79</f>
        <v>223985928</v>
      </c>
      <c r="L11" s="20" t="n">
        <f aca="false">IF('주별 매출'!BL79=0,"",K11/'주별 매출'!BL79-1)</f>
        <v>-0.0518356229237627</v>
      </c>
      <c r="M11" s="12" t="n">
        <f aca="false">SUM('주별 매출'!BJ79:BM79)</f>
        <v>914475895</v>
      </c>
      <c r="N11" s="12" t="n">
        <f aca="false">SUM('주별 매출'!BF79:BI79)</f>
        <v>967116026</v>
      </c>
      <c r="O11" s="20" t="n">
        <f aca="false">IF(N11=0,"",M11/N11-1)</f>
        <v>-0.0544300058987959</v>
      </c>
      <c r="P11" s="12" t="n">
        <f aca="false">'주별 매출'!M79</f>
        <v>269882111</v>
      </c>
      <c r="Q11" s="20" t="n">
        <f aca="false">IF(P11=0,"",K11/P11-1)</f>
        <v>-0.170060115618408</v>
      </c>
      <c r="R11" s="20" t="n">
        <f aca="false">IF($M$8=0,"",M11/$M$8)</f>
        <v>0.045810884218607</v>
      </c>
      <c r="S11" s="21" t="str">
        <f aca="false">IF(AND(M11=0,N11=0),"-",IF(N11=0,"● 신규 발생",IF(M11=0,"■ 매출 중단",IF(O11&gt;=0.05,"▲ 상승",IF(O11&lt;=-0.05,"▼ 하락","― 보합")))))</f>
        <v>▼ 하락</v>
      </c>
      <c r="T11" s="21" t="str">
        <f aca="false">IF(AND(F11=0,G11=0),"-",IF(F11=0,"● 신규 발생",IF(G11=0,"■ 매출 중단",IF(H11&gt;=0.05,"▲ 상승",IF(H11&lt;=-0.05,"▼ 하락","― 보합")))))</f>
        <v>― 보합</v>
      </c>
      <c r="U11" s="47"/>
    </row>
    <row r="12" customFormat="false" ht="15" hidden="false" customHeight="false" outlineLevel="0" collapsed="false">
      <c r="A12" s="21" t="n">
        <v>4</v>
      </c>
      <c r="B12" s="19" t="s">
        <v>181</v>
      </c>
      <c r="C12" s="22" t="s">
        <v>187</v>
      </c>
      <c r="D12" s="19" t="s">
        <v>72</v>
      </c>
      <c r="E12" s="46" t="n">
        <f aca="false">'주별 매출'!D51</f>
        <v>32</v>
      </c>
      <c r="F12" s="12" t="n">
        <f aca="false">AVERAGE('월별 매출'!D51:F51)</f>
        <v>1251531838.33333</v>
      </c>
      <c r="G12" s="12" t="n">
        <f aca="false">AVERAGE('월별 매출'!J51:L51)</f>
        <v>1307320161.33333</v>
      </c>
      <c r="H12" s="20" t="n">
        <f aca="false">IF(F12=0,"",G12/F12-1)</f>
        <v>0.0445760317806165</v>
      </c>
      <c r="I12" s="12" t="n">
        <f aca="false">'월별 매출'!L51</f>
        <v>1095470420</v>
      </c>
      <c r="J12" s="20" t="n">
        <f aca="false">'월별 매출'!U51</f>
        <v>-0.159632755044307</v>
      </c>
      <c r="K12" s="12" t="n">
        <f aca="false">'주별 매출'!BM51</f>
        <v>317159870</v>
      </c>
      <c r="L12" s="20" t="n">
        <f aca="false">IF('주별 매출'!BL51=0,"",K12/'주별 매출'!BL51-1)</f>
        <v>0.0460811536476355</v>
      </c>
      <c r="M12" s="12" t="n">
        <f aca="false">SUM('주별 매출'!BJ51:BM51)</f>
        <v>908748440</v>
      </c>
      <c r="N12" s="12" t="n">
        <f aca="false">SUM('주별 매출'!BF51:BI51)</f>
        <v>1286334370</v>
      </c>
      <c r="O12" s="20" t="n">
        <f aca="false">IF(N12=0,"",M12/N12-1)</f>
        <v>-0.293536376548813</v>
      </c>
      <c r="P12" s="12" t="n">
        <f aca="false">'주별 매출'!M51</f>
        <v>306720930</v>
      </c>
      <c r="Q12" s="20" t="n">
        <f aca="false">IF(P12=0,"",K12/P12-1)</f>
        <v>0.0340339995708803</v>
      </c>
      <c r="R12" s="20" t="n">
        <f aca="false">IF($M$8=0,"",M12/$M$8)</f>
        <v>0.0455239660184589</v>
      </c>
      <c r="S12" s="21" t="str">
        <f aca="false">IF(AND(M12=0,N12=0),"-",IF(N12=0,"● 신규 발생",IF(M12=0,"■ 매출 중단",IF(O12&gt;=0.05,"▲ 상승",IF(O12&lt;=-0.05,"▼ 하락","― 보합")))))</f>
        <v>▼ 하락</v>
      </c>
      <c r="T12" s="21" t="str">
        <f aca="false">IF(AND(F12=0,G12=0),"-",IF(F12=0,"● 신규 발생",IF(G12=0,"■ 매출 중단",IF(H12&gt;=0.05,"▲ 상승",IF(H12&lt;=-0.05,"▼ 하락","― 보합")))))</f>
        <v>― 보합</v>
      </c>
      <c r="U12" s="47"/>
    </row>
    <row r="13" customFormat="false" ht="15" hidden="false" customHeight="false" outlineLevel="0" collapsed="false">
      <c r="A13" s="21" t="n">
        <v>5</v>
      </c>
      <c r="B13" s="19" t="s">
        <v>181</v>
      </c>
      <c r="C13" s="22" t="s">
        <v>188</v>
      </c>
      <c r="D13" s="19" t="s">
        <v>189</v>
      </c>
      <c r="E13" s="46" t="n">
        <f aca="false">'주별 매출'!D32</f>
        <v>289</v>
      </c>
      <c r="F13" s="12" t="n">
        <f aca="false">AVERAGE('월별 매출'!D32:F32)</f>
        <v>972205033.333333</v>
      </c>
      <c r="G13" s="12" t="n">
        <f aca="false">AVERAGE('월별 매출'!J32:L32)</f>
        <v>1052771739.66667</v>
      </c>
      <c r="H13" s="20" t="n">
        <f aca="false">IF(F13=0,"",G13/F13-1)</f>
        <v>0.0828700773715392</v>
      </c>
      <c r="I13" s="12" t="n">
        <f aca="false">'월별 매출'!L32</f>
        <v>923064584</v>
      </c>
      <c r="J13" s="20" t="n">
        <f aca="false">'월별 매출'!U32</f>
        <v>-0.149956562274064</v>
      </c>
      <c r="K13" s="12" t="n">
        <f aca="false">'주별 매출'!BM32</f>
        <v>175392743</v>
      </c>
      <c r="L13" s="20" t="n">
        <f aca="false">IF('주별 매출'!BL32=0,"",K13/'주별 매출'!BL32-1)</f>
        <v>-0.120535439575978</v>
      </c>
      <c r="M13" s="12" t="n">
        <f aca="false">SUM('주별 매출'!BJ32:BM32)</f>
        <v>809206366</v>
      </c>
      <c r="N13" s="12" t="n">
        <f aca="false">SUM('주별 매출'!BF32:BI32)</f>
        <v>838879714</v>
      </c>
      <c r="O13" s="20" t="n">
        <f aca="false">IF(N13=0,"",M13/N13-1)</f>
        <v>-0.035372589782282</v>
      </c>
      <c r="P13" s="12" t="n">
        <f aca="false">'주별 매출'!M32</f>
        <v>188069686</v>
      </c>
      <c r="Q13" s="20" t="n">
        <f aca="false">IF(P13=0,"",K13/P13-1)</f>
        <v>-0.0674055626380957</v>
      </c>
      <c r="R13" s="20" t="n">
        <f aca="false">IF($M$8=0,"",M13/$M$8)</f>
        <v>0.0405373824990606</v>
      </c>
      <c r="S13" s="21" t="str">
        <f aca="false">IF(AND(M13=0,N13=0),"-",IF(N13=0,"● 신규 발생",IF(M13=0,"■ 매출 중단",IF(O13&gt;=0.05,"▲ 상승",IF(O13&lt;=-0.05,"▼ 하락","― 보합")))))</f>
        <v>― 보합</v>
      </c>
      <c r="T13" s="21" t="str">
        <f aca="false">IF(AND(F13=0,G13=0),"-",IF(F13=0,"● 신규 발생",IF(G13=0,"■ 매출 중단",IF(H13&gt;=0.05,"▲ 상승",IF(H13&lt;=-0.05,"▼ 하락","― 보합")))))</f>
        <v>▲ 상승</v>
      </c>
      <c r="U13" s="47"/>
    </row>
    <row r="14" customFormat="false" ht="15" hidden="false" customHeight="false" outlineLevel="0" collapsed="false">
      <c r="A14" s="21" t="n">
        <v>6</v>
      </c>
      <c r="B14" s="19" t="s">
        <v>183</v>
      </c>
      <c r="C14" s="22" t="s">
        <v>190</v>
      </c>
      <c r="D14" s="19" t="s">
        <v>191</v>
      </c>
      <c r="E14" s="46" t="n">
        <f aca="false">'주별 매출'!D24</f>
        <v>65</v>
      </c>
      <c r="F14" s="12" t="n">
        <f aca="false">AVERAGE('월별 매출'!D24:F24)</f>
        <v>0</v>
      </c>
      <c r="G14" s="12" t="n">
        <f aca="false">AVERAGE('월별 매출'!J24:L24)</f>
        <v>43442000</v>
      </c>
      <c r="H14" s="20" t="str">
        <f aca="false">IF(F14=0,"",G14/F14-1)</f>
        <v/>
      </c>
      <c r="I14" s="12" t="n">
        <f aca="false">'월별 매출'!L24</f>
        <v>43500000</v>
      </c>
      <c r="J14" s="20" t="n">
        <f aca="false">'월별 매출'!U24</f>
        <v>0.00170404826601578</v>
      </c>
      <c r="K14" s="12" t="n">
        <f aca="false">'주별 매출'!BM24</f>
        <v>199827991</v>
      </c>
      <c r="L14" s="20" t="n">
        <f aca="false">IF('주별 매출'!BL24=0,"",K14/'주별 매출'!BL24-1)</f>
        <v>0.152721840831586</v>
      </c>
      <c r="M14" s="12" t="n">
        <f aca="false">SUM('주별 매출'!BJ24:BM24)</f>
        <v>753313179</v>
      </c>
      <c r="N14" s="12" t="n">
        <f aca="false">SUM('주별 매출'!BF24:BI24)</f>
        <v>682285288</v>
      </c>
      <c r="O14" s="20" t="n">
        <f aca="false">IF(N14=0,"",M14/N14-1)</f>
        <v>0.104102920360786</v>
      </c>
      <c r="P14" s="12" t="n">
        <f aca="false">'주별 매출'!M24</f>
        <v>0</v>
      </c>
      <c r="Q14" s="20" t="str">
        <f aca="false">IF(P14=0,"",K14/P14-1)</f>
        <v/>
      </c>
      <c r="R14" s="20" t="n">
        <f aca="false">IF($M$8=0,"",M14/$M$8)</f>
        <v>0.0377374002007126</v>
      </c>
      <c r="S14" s="21" t="str">
        <f aca="false">IF(AND(M14=0,N14=0),"-",IF(N14=0,"● 신규 발생",IF(M14=0,"■ 매출 중단",IF(O14&gt;=0.05,"▲ 상승",IF(O14&lt;=-0.05,"▼ 하락","― 보합")))))</f>
        <v>▲ 상승</v>
      </c>
      <c r="T14" s="21" t="str">
        <f aca="false">IF(AND(F14=0,G14=0),"-",IF(F14=0,"● 신규 발생",IF(G14=0,"■ 매출 중단",IF(H14&gt;=0.05,"▲ 상승",IF(H14&lt;=-0.05,"▼ 하락","― 보합")))))</f>
        <v>● 신규 발생</v>
      </c>
      <c r="U14" s="48" t="s">
        <v>192</v>
      </c>
    </row>
    <row r="15" customFormat="false" ht="15" hidden="false" customHeight="false" outlineLevel="0" collapsed="false">
      <c r="A15" s="21" t="n">
        <v>7</v>
      </c>
      <c r="B15" s="19" t="s">
        <v>181</v>
      </c>
      <c r="C15" s="22" t="s">
        <v>193</v>
      </c>
      <c r="D15" s="22" t="s">
        <v>68</v>
      </c>
      <c r="E15" s="46" t="n">
        <f aca="false">'주별 매출'!D97</f>
        <v>150</v>
      </c>
      <c r="F15" s="12" t="n">
        <f aca="false">AVERAGE('월별 매출'!D97:F97)</f>
        <v>803049315.666667</v>
      </c>
      <c r="G15" s="12" t="n">
        <f aca="false">AVERAGE('월별 매출'!J97:L97)</f>
        <v>620241541</v>
      </c>
      <c r="H15" s="20" t="n">
        <f aca="false">IF(F15=0,"",G15/F15-1)</f>
        <v>-0.227642027831012</v>
      </c>
      <c r="I15" s="12" t="n">
        <f aca="false">'월별 매출'!L97</f>
        <v>648818993</v>
      </c>
      <c r="J15" s="20" t="n">
        <f aca="false">'월별 매출'!U97</f>
        <v>0.0961853114332822</v>
      </c>
      <c r="K15" s="12" t="n">
        <f aca="false">'주별 매출'!BM97</f>
        <v>164270230</v>
      </c>
      <c r="L15" s="20" t="n">
        <f aca="false">IF('주별 매출'!BL97=0,"",K15/'주별 매출'!BL97-1)</f>
        <v>-0.0178848085538401</v>
      </c>
      <c r="M15" s="12" t="n">
        <f aca="false">SUM('주별 매출'!BJ97:BM97)</f>
        <v>646136281</v>
      </c>
      <c r="N15" s="12" t="n">
        <f aca="false">SUM('주별 매출'!BF97:BI97)</f>
        <v>586375069</v>
      </c>
      <c r="O15" s="20" t="n">
        <f aca="false">IF(N15=0,"",M15/N15-1)</f>
        <v>0.101916358930328</v>
      </c>
      <c r="P15" s="12" t="n">
        <f aca="false">'주별 매출'!M97</f>
        <v>209047596</v>
      </c>
      <c r="Q15" s="20" t="n">
        <f aca="false">IF(P15=0,"",K15/P15-1)</f>
        <v>-0.214196990813518</v>
      </c>
      <c r="R15" s="20" t="n">
        <f aca="false">IF($M$8=0,"",M15/$M$8)</f>
        <v>0.0323683483842211</v>
      </c>
      <c r="S15" s="21" t="str">
        <f aca="false">IF(AND(M15=0,N15=0),"-",IF(N15=0,"● 신규 발생",IF(M15=0,"■ 매출 중단",IF(O15&gt;=0.05,"▲ 상승",IF(O15&lt;=-0.05,"▼ 하락","― 보합")))))</f>
        <v>▲ 상승</v>
      </c>
      <c r="T15" s="21" t="str">
        <f aca="false">IF(AND(F15=0,G15=0),"-",IF(F15=0,"● 신규 발생",IF(G15=0,"■ 매출 중단",IF(H15&gt;=0.05,"▲ 상승",IF(H15&lt;=-0.05,"▼ 하락","― 보합")))))</f>
        <v>▼ 하락</v>
      </c>
      <c r="U15" s="48"/>
    </row>
    <row r="16" customFormat="false" ht="15" hidden="false" customHeight="false" outlineLevel="0" collapsed="false">
      <c r="A16" s="21" t="n">
        <v>8</v>
      </c>
      <c r="B16" s="19" t="s">
        <v>181</v>
      </c>
      <c r="C16" s="22" t="s">
        <v>194</v>
      </c>
      <c r="D16" s="19" t="s">
        <v>195</v>
      </c>
      <c r="E16" s="46" t="n">
        <f aca="false">'주별 매출'!D100</f>
        <v>90</v>
      </c>
      <c r="F16" s="12" t="n">
        <f aca="false">AVERAGE('월별 매출'!D100:F100)</f>
        <v>617402637</v>
      </c>
      <c r="G16" s="12" t="n">
        <f aca="false">AVERAGE('월별 매출'!J100:L100)</f>
        <v>669125454.666667</v>
      </c>
      <c r="H16" s="20" t="n">
        <f aca="false">IF(F16=0,"",G16/F16-1)</f>
        <v>0.0837748570657086</v>
      </c>
      <c r="I16" s="12" t="n">
        <f aca="false">'월별 매출'!L100</f>
        <v>647505974</v>
      </c>
      <c r="J16" s="20" t="n">
        <f aca="false">'월별 매출'!U100</f>
        <v>-0.0399249693532792</v>
      </c>
      <c r="K16" s="12" t="n">
        <f aca="false">'주별 매출'!BM100</f>
        <v>159596324</v>
      </c>
      <c r="L16" s="20" t="n">
        <f aca="false">IF('주별 매출'!BL100=0,"",K16/'주별 매출'!BL100-1)</f>
        <v>-0.0122658549665039</v>
      </c>
      <c r="M16" s="12" t="n">
        <f aca="false">SUM('주별 매출'!BJ100:BM100)</f>
        <v>618991241</v>
      </c>
      <c r="N16" s="12" t="n">
        <f aca="false">SUM('주별 매출'!BF100:BI100)</f>
        <v>611951290</v>
      </c>
      <c r="O16" s="20" t="n">
        <f aca="false">IF(N16=0,"",M16/N16-1)</f>
        <v>0.0115041035373911</v>
      </c>
      <c r="P16" s="12" t="n">
        <f aca="false">'주별 매출'!M100</f>
        <v>141221320</v>
      </c>
      <c r="Q16" s="20" t="n">
        <f aca="false">IF(P16=0,"",K16/P16-1)</f>
        <v>0.13011494298453</v>
      </c>
      <c r="R16" s="20" t="n">
        <f aca="false">IF($M$8=0,"",M16/$M$8)</f>
        <v>0.0310085112454308</v>
      </c>
      <c r="S16" s="21" t="str">
        <f aca="false">IF(AND(M16=0,N16=0),"-",IF(N16=0,"● 신규 발생",IF(M16=0,"■ 매출 중단",IF(O16&gt;=0.05,"▲ 상승",IF(O16&lt;=-0.05,"▼ 하락","― 보합")))))</f>
        <v>― 보합</v>
      </c>
      <c r="T16" s="21" t="str">
        <f aca="false">IF(AND(F16=0,G16=0),"-",IF(F16=0,"● 신규 발생",IF(G16=0,"■ 매출 중단",IF(H16&gt;=0.05,"▲ 상승",IF(H16&lt;=-0.05,"▼ 하락","― 보합")))))</f>
        <v>▲ 상승</v>
      </c>
      <c r="U16" s="48"/>
    </row>
    <row r="17" customFormat="false" ht="15" hidden="false" customHeight="false" outlineLevel="0" collapsed="false">
      <c r="A17" s="21" t="n">
        <v>9</v>
      </c>
      <c r="B17" s="19" t="s">
        <v>181</v>
      </c>
      <c r="C17" s="22" t="s">
        <v>196</v>
      </c>
      <c r="D17" s="19" t="s">
        <v>197</v>
      </c>
      <c r="E17" s="46" t="n">
        <f aca="false">'주별 매출'!D56</f>
        <v>121</v>
      </c>
      <c r="F17" s="12" t="n">
        <f aca="false">AVERAGE('월별 매출'!D56:F56)</f>
        <v>786577736.333333</v>
      </c>
      <c r="G17" s="12" t="n">
        <f aca="false">AVERAGE('월별 매출'!J56:L56)</f>
        <v>753355952.333333</v>
      </c>
      <c r="H17" s="20" t="n">
        <f aca="false">IF(F17=0,"",G17/F17-1)</f>
        <v>-0.0422358559941765</v>
      </c>
      <c r="I17" s="12" t="n">
        <f aca="false">'월별 매출'!L56</f>
        <v>647185061</v>
      </c>
      <c r="J17" s="20" t="n">
        <f aca="false">'월별 매출'!U56</f>
        <v>-0.178479095734013</v>
      </c>
      <c r="K17" s="12" t="n">
        <f aca="false">'주별 매출'!BM56</f>
        <v>125441955</v>
      </c>
      <c r="L17" s="20" t="n">
        <f aca="false">IF('주별 매출'!BL56=0,"",K17/'주별 매출'!BL56-1)</f>
        <v>-0.0808983331430779</v>
      </c>
      <c r="M17" s="12" t="n">
        <f aca="false">SUM('주별 매출'!BJ56:BM56)</f>
        <v>535553088</v>
      </c>
      <c r="N17" s="12" t="n">
        <f aca="false">SUM('주별 매출'!BF56:BI56)</f>
        <v>614293428</v>
      </c>
      <c r="O17" s="20" t="n">
        <f aca="false">IF(N17=0,"",M17/N17-1)</f>
        <v>-0.128180339249861</v>
      </c>
      <c r="P17" s="12" t="n">
        <f aca="false">'주별 매출'!M56</f>
        <v>0</v>
      </c>
      <c r="Q17" s="20" t="str">
        <f aca="false">IF(P17=0,"",K17/P17-1)</f>
        <v/>
      </c>
      <c r="R17" s="20" t="n">
        <f aca="false">IF($M$8=0,"",M17/$M$8)</f>
        <v>0.0268286574216212</v>
      </c>
      <c r="S17" s="21" t="str">
        <f aca="false">IF(AND(M17=0,N17=0),"-",IF(N17=0,"● 신규 발생",IF(M17=0,"■ 매출 중단",IF(O17&gt;=0.05,"▲ 상승",IF(O17&lt;=-0.05,"▼ 하락","― 보합")))))</f>
        <v>▼ 하락</v>
      </c>
      <c r="T17" s="21" t="str">
        <f aca="false">IF(AND(F17=0,G17=0),"-",IF(F17=0,"● 신규 발생",IF(G17=0,"■ 매출 중단",IF(H17&gt;=0.05,"▲ 상승",IF(H17&lt;=-0.05,"▼ 하락","― 보합")))))</f>
        <v>― 보합</v>
      </c>
      <c r="U17" s="48"/>
    </row>
    <row r="18" customFormat="false" ht="15" hidden="false" customHeight="false" outlineLevel="0" collapsed="false">
      <c r="A18" s="21" t="n">
        <v>10</v>
      </c>
      <c r="B18" s="19" t="s">
        <v>181</v>
      </c>
      <c r="C18" s="22" t="s">
        <v>198</v>
      </c>
      <c r="D18" s="19" t="s">
        <v>199</v>
      </c>
      <c r="E18" s="46" t="n">
        <f aca="false">'주별 매출'!D54</f>
        <v>98</v>
      </c>
      <c r="F18" s="12" t="n">
        <f aca="false">AVERAGE('월별 매출'!D54:F54)</f>
        <v>608799770.333333</v>
      </c>
      <c r="G18" s="12" t="n">
        <f aca="false">AVERAGE('월별 매출'!J54:L54)</f>
        <v>539975873.666667</v>
      </c>
      <c r="H18" s="20" t="n">
        <f aca="false">IF(F18=0,"",G18/F18-1)</f>
        <v>-0.113048493150686</v>
      </c>
      <c r="I18" s="12" t="n">
        <f aca="false">'월별 매출'!L54</f>
        <v>537800968</v>
      </c>
      <c r="J18" s="20" t="n">
        <f aca="false">'월별 매출'!U54</f>
        <v>0.00803907654759817</v>
      </c>
      <c r="K18" s="12" t="n">
        <f aca="false">'주별 매출'!BM54</f>
        <v>130932050</v>
      </c>
      <c r="L18" s="20" t="n">
        <f aca="false">IF('주별 매출'!BL54=0,"",K18/'주별 매출'!BL54-1)</f>
        <v>0.0230527373514535</v>
      </c>
      <c r="M18" s="12" t="n">
        <f aca="false">SUM('주별 매출'!BJ54:BM54)</f>
        <v>491718808</v>
      </c>
      <c r="N18" s="12" t="n">
        <f aca="false">SUM('주별 매출'!BF54:BI54)</f>
        <v>511015645</v>
      </c>
      <c r="O18" s="20" t="n">
        <f aca="false">IF(N18=0,"",M18/N18-1)</f>
        <v>-0.037761734281149</v>
      </c>
      <c r="P18" s="12" t="n">
        <f aca="false">'주별 매출'!M54</f>
        <v>0</v>
      </c>
      <c r="Q18" s="20" t="str">
        <f aca="false">IF(P18=0,"",K18/P18-1)</f>
        <v/>
      </c>
      <c r="R18" s="20" t="n">
        <f aca="false">IF($M$8=0,"",M18/$M$8)</f>
        <v>0.024632768894799</v>
      </c>
      <c r="S18" s="21" t="str">
        <f aca="false">IF(AND(M18=0,N18=0),"-",IF(N18=0,"● 신규 발생",IF(M18=0,"■ 매출 중단",IF(O18&gt;=0.05,"▲ 상승",IF(O18&lt;=-0.05,"▼ 하락","― 보합")))))</f>
        <v>― 보합</v>
      </c>
      <c r="T18" s="21" t="str">
        <f aca="false">IF(AND(F18=0,G18=0),"-",IF(F18=0,"● 신규 발생",IF(G18=0,"■ 매출 중단",IF(H18&gt;=0.05,"▲ 상승",IF(H18&lt;=-0.05,"▼ 하락","― 보합")))))</f>
        <v>▼ 하락</v>
      </c>
      <c r="U18" s="48"/>
    </row>
    <row r="19" customFormat="false" ht="15" hidden="false" customHeight="false" outlineLevel="0" collapsed="false">
      <c r="A19" s="21" t="n">
        <v>11</v>
      </c>
      <c r="B19" s="19" t="s">
        <v>181</v>
      </c>
      <c r="C19" s="22" t="s">
        <v>200</v>
      </c>
      <c r="D19" s="22" t="s">
        <v>63</v>
      </c>
      <c r="E19" s="46" t="n">
        <f aca="false">'주별 매출'!D70</f>
        <v>65</v>
      </c>
      <c r="F19" s="12" t="n">
        <f aca="false">AVERAGE('월별 매출'!D70:F70)</f>
        <v>295328893.333333</v>
      </c>
      <c r="G19" s="12" t="n">
        <f aca="false">AVERAGE('월별 매출'!J70:L70)</f>
        <v>483288698</v>
      </c>
      <c r="H19" s="20" t="n">
        <f aca="false">IF(F19=0,"",G19/F19-1)</f>
        <v>0.636442315363026</v>
      </c>
      <c r="I19" s="12" t="n">
        <f aca="false">'월별 매출'!L70</f>
        <v>509432352</v>
      </c>
      <c r="J19" s="20" t="n">
        <f aca="false">'월별 매출'!U70</f>
        <v>0.0669083040265106</v>
      </c>
      <c r="K19" s="12" t="n">
        <f aca="false">'주별 매출'!BM70</f>
        <v>108601911</v>
      </c>
      <c r="L19" s="20" t="n">
        <f aca="false">IF('주별 매출'!BL70=0,"",K19/'주별 매출'!BL70-1)</f>
        <v>-0.0821440504432583</v>
      </c>
      <c r="M19" s="12" t="n">
        <f aca="false">SUM('주별 매출'!BJ70:BM70)</f>
        <v>479753758</v>
      </c>
      <c r="N19" s="12" t="n">
        <f aca="false">SUM('주별 매출'!BF70:BI70)</f>
        <v>445737992</v>
      </c>
      <c r="O19" s="20" t="n">
        <f aca="false">IF(N19=0,"",M19/N19-1)</f>
        <v>0.0763133648253165</v>
      </c>
      <c r="P19" s="12" t="n">
        <f aca="false">'주별 매출'!M70</f>
        <v>49398660</v>
      </c>
      <c r="Q19" s="20" t="n">
        <f aca="false">IF(P19=0,"",K19/P19-1)</f>
        <v>1.19847888586452</v>
      </c>
      <c r="R19" s="20" t="n">
        <f aca="false">IF($M$8=0,"",M19/$M$8)</f>
        <v>0.0240333769116786</v>
      </c>
      <c r="S19" s="21" t="str">
        <f aca="false">IF(AND(M19=0,N19=0),"-",IF(N19=0,"● 신규 발생",IF(M19=0,"■ 매출 중단",IF(O19&gt;=0.05,"▲ 상승",IF(O19&lt;=-0.05,"▼ 하락","― 보합")))))</f>
        <v>▲ 상승</v>
      </c>
      <c r="T19" s="21" t="str">
        <f aca="false">IF(AND(F19=0,G19=0),"-",IF(F19=0,"● 신규 발생",IF(G19=0,"■ 매출 중단",IF(H19&gt;=0.05,"▲ 상승",IF(H19&lt;=-0.05,"▼ 하락","― 보합")))))</f>
        <v>▲ 상승</v>
      </c>
      <c r="U19" s="48"/>
    </row>
    <row r="20" customFormat="false" ht="15" hidden="false" customHeight="false" outlineLevel="0" collapsed="false">
      <c r="A20" s="21" t="n">
        <v>12</v>
      </c>
      <c r="B20" s="19" t="s">
        <v>181</v>
      </c>
      <c r="C20" s="22" t="s">
        <v>201</v>
      </c>
      <c r="D20" s="19" t="s">
        <v>202</v>
      </c>
      <c r="E20" s="46" t="n">
        <f aca="false">'주별 매출'!D61</f>
        <v>156</v>
      </c>
      <c r="F20" s="12" t="n">
        <f aca="false">AVERAGE('월별 매출'!D61:F61)</f>
        <v>466913743</v>
      </c>
      <c r="G20" s="12" t="n">
        <f aca="false">AVERAGE('월별 매출'!J61:L61)</f>
        <v>479958945.333333</v>
      </c>
      <c r="H20" s="20" t="n">
        <f aca="false">IF(F20=0,"",G20/F20-1)</f>
        <v>0.0279392126038434</v>
      </c>
      <c r="I20" s="12" t="n">
        <f aca="false">'월별 매출'!L61</f>
        <v>471967420</v>
      </c>
      <c r="J20" s="20" t="n">
        <f aca="false">'월별 매출'!U61</f>
        <v>0.0162316269917884</v>
      </c>
      <c r="K20" s="12" t="n">
        <f aca="false">'주별 매출'!BM61</f>
        <v>105584297</v>
      </c>
      <c r="L20" s="20" t="n">
        <f aca="false">IF('주별 매출'!BL61=0,"",K20/'주별 매출'!BL61-1)</f>
        <v>0.0737019730245341</v>
      </c>
      <c r="M20" s="12" t="n">
        <f aca="false">SUM('주별 매출'!BJ61:BM61)</f>
        <v>418475423</v>
      </c>
      <c r="N20" s="12" t="n">
        <f aca="false">SUM('주별 매출'!BF61:BI61)</f>
        <v>428508845</v>
      </c>
      <c r="O20" s="20" t="n">
        <f aca="false">IF(N20=0,"",M20/N20-1)</f>
        <v>-0.0234147372150509</v>
      </c>
      <c r="P20" s="12" t="n">
        <f aca="false">'주별 매출'!M61</f>
        <v>207243968</v>
      </c>
      <c r="Q20" s="20" t="n">
        <f aca="false">IF(P20=0,"",K20/P20-1)</f>
        <v>-0.49053138666019</v>
      </c>
      <c r="R20" s="20" t="n">
        <f aca="false">IF($M$8=0,"",M20/$M$8)</f>
        <v>0.0209636243625488</v>
      </c>
      <c r="S20" s="21" t="str">
        <f aca="false">IF(AND(M20=0,N20=0),"-",IF(N20=0,"● 신규 발생",IF(M20=0,"■ 매출 중단",IF(O20&gt;=0.05,"▲ 상승",IF(O20&lt;=-0.05,"▼ 하락","― 보합")))))</f>
        <v>― 보합</v>
      </c>
      <c r="T20" s="21" t="str">
        <f aca="false">IF(AND(F20=0,G20=0),"-",IF(F20=0,"● 신규 발생",IF(G20=0,"■ 매출 중단",IF(H20&gt;=0.05,"▲ 상승",IF(H20&lt;=-0.05,"▼ 하락","― 보합")))))</f>
        <v>― 보합</v>
      </c>
      <c r="U20" s="48"/>
    </row>
    <row r="21" customFormat="false" ht="15" hidden="false" customHeight="false" outlineLevel="0" collapsed="false">
      <c r="A21" s="21" t="n">
        <v>13</v>
      </c>
      <c r="B21" s="19" t="s">
        <v>181</v>
      </c>
      <c r="C21" s="22" t="s">
        <v>203</v>
      </c>
      <c r="D21" s="19" t="s">
        <v>69</v>
      </c>
      <c r="E21" s="46" t="n">
        <f aca="false">'주별 매출'!D95</f>
        <v>36</v>
      </c>
      <c r="F21" s="12" t="n">
        <f aca="false">AVERAGE('월별 매출'!D95:F95)</f>
        <v>543931025.666667</v>
      </c>
      <c r="G21" s="12" t="n">
        <f aca="false">AVERAGE('월별 매출'!J95:L95)</f>
        <v>480074598.666667</v>
      </c>
      <c r="H21" s="20" t="n">
        <f aca="false">IF(F21=0,"",G21/F21-1)</f>
        <v>-0.117398022886697</v>
      </c>
      <c r="I21" s="12" t="n">
        <f aca="false">'월별 매출'!L95</f>
        <v>418767227</v>
      </c>
      <c r="J21" s="20" t="n">
        <f aca="false">'월별 매출'!U95</f>
        <v>-0.174938453531689</v>
      </c>
      <c r="K21" s="12" t="n">
        <f aca="false">'주별 매출'!BM95</f>
        <v>104431901</v>
      </c>
      <c r="L21" s="20" t="n">
        <f aca="false">IF('주별 매출'!BL95=0,"",K21/'주별 매출'!BL95-1)</f>
        <v>0.0776164754457642</v>
      </c>
      <c r="M21" s="12" t="n">
        <f aca="false">SUM('주별 매출'!BJ95:BM95)</f>
        <v>387374987</v>
      </c>
      <c r="N21" s="12" t="n">
        <f aca="false">SUM('주별 매출'!BF95:BI95)</f>
        <v>410359916</v>
      </c>
      <c r="O21" s="20" t="n">
        <f aca="false">IF(N21=0,"",M21/N21-1)</f>
        <v>-0.0560116329685573</v>
      </c>
      <c r="P21" s="12" t="n">
        <f aca="false">'주별 매출'!M95</f>
        <v>145666160</v>
      </c>
      <c r="Q21" s="20" t="n">
        <f aca="false">IF(P21=0,"",K21/P21-1)</f>
        <v>-0.283073700851316</v>
      </c>
      <c r="R21" s="20" t="n">
        <f aca="false">IF($M$8=0,"",M21/$M$8)</f>
        <v>0.0194056407344028</v>
      </c>
      <c r="S21" s="21" t="str">
        <f aca="false">IF(AND(M21=0,N21=0),"-",IF(N21=0,"● 신규 발생",IF(M21=0,"■ 매출 중단",IF(O21&gt;=0.05,"▲ 상승",IF(O21&lt;=-0.05,"▼ 하락","― 보합")))))</f>
        <v>▼ 하락</v>
      </c>
      <c r="T21" s="21" t="str">
        <f aca="false">IF(AND(F21=0,G21=0),"-",IF(F21=0,"● 신규 발생",IF(G21=0,"■ 매출 중단",IF(H21&gt;=0.05,"▲ 상승",IF(H21&lt;=-0.05,"▼ 하락","― 보합")))))</f>
        <v>▼ 하락</v>
      </c>
      <c r="U21" s="48"/>
    </row>
    <row r="22" customFormat="false" ht="15" hidden="false" customHeight="false" outlineLevel="0" collapsed="false">
      <c r="A22" s="21" t="n">
        <v>14</v>
      </c>
      <c r="B22" s="19" t="s">
        <v>181</v>
      </c>
      <c r="C22" s="22" t="s">
        <v>204</v>
      </c>
      <c r="D22" s="19" t="s">
        <v>205</v>
      </c>
      <c r="E22" s="46" t="n">
        <f aca="false">'주별 매출'!D43</f>
        <v>44</v>
      </c>
      <c r="F22" s="12" t="n">
        <f aca="false">AVERAGE('월별 매출'!D43:F43)</f>
        <v>340656386.666667</v>
      </c>
      <c r="G22" s="12" t="n">
        <f aca="false">AVERAGE('월별 매출'!J43:L43)</f>
        <v>387494188</v>
      </c>
      <c r="H22" s="20" t="n">
        <f aca="false">IF(F22=0,"",G22/F22-1)</f>
        <v>0.137492802620384</v>
      </c>
      <c r="I22" s="12" t="n">
        <f aca="false">'월별 매출'!L43</f>
        <v>357564124</v>
      </c>
      <c r="J22" s="20" t="n">
        <f aca="false">'월별 매출'!U43</f>
        <v>-0.111409722201219</v>
      </c>
      <c r="K22" s="12" t="n">
        <f aca="false">'주별 매출'!BM43</f>
        <v>78571576</v>
      </c>
      <c r="L22" s="20" t="n">
        <f aca="false">IF('주별 매출'!BL43=0,"",K22/'주별 매출'!BL43-1)</f>
        <v>-0.110577928914992</v>
      </c>
      <c r="M22" s="12" t="n">
        <f aca="false">SUM('주별 매출'!BJ43:BM43)</f>
        <v>337270983</v>
      </c>
      <c r="N22" s="12" t="n">
        <f aca="false">SUM('주별 매출'!BF43:BI43)</f>
        <v>336070619</v>
      </c>
      <c r="O22" s="20" t="n">
        <f aca="false">IF(N22=0,"",M22/N22-1)</f>
        <v>0.00357176120772396</v>
      </c>
      <c r="P22" s="12" t="n">
        <f aca="false">'주별 매출'!M43</f>
        <v>85421905</v>
      </c>
      <c r="Q22" s="20" t="n">
        <f aca="false">IF(P22=0,"",K22/P22-1)</f>
        <v>-0.0801940556113798</v>
      </c>
      <c r="R22" s="20" t="n">
        <f aca="false">IF($M$8=0,"",M22/$M$8)</f>
        <v>0.0168956689148256</v>
      </c>
      <c r="S22" s="21" t="str">
        <f aca="false">IF(AND(M22=0,N22=0),"-",IF(N22=0,"● 신규 발생",IF(M22=0,"■ 매출 중단",IF(O22&gt;=0.05,"▲ 상승",IF(O22&lt;=-0.05,"▼ 하락","― 보합")))))</f>
        <v>― 보합</v>
      </c>
      <c r="T22" s="21" t="str">
        <f aca="false">IF(AND(F22=0,G22=0),"-",IF(F22=0,"● 신규 발생",IF(G22=0,"■ 매출 중단",IF(H22&gt;=0.05,"▲ 상승",IF(H22&lt;=-0.05,"▼ 하락","― 보합")))))</f>
        <v>▲ 상승</v>
      </c>
      <c r="U22" s="48"/>
    </row>
    <row r="23" customFormat="false" ht="15" hidden="false" customHeight="false" outlineLevel="0" collapsed="false">
      <c r="A23" s="21" t="n">
        <v>15</v>
      </c>
      <c r="B23" s="19" t="s">
        <v>181</v>
      </c>
      <c r="C23" s="22" t="s">
        <v>206</v>
      </c>
      <c r="D23" s="19" t="s">
        <v>207</v>
      </c>
      <c r="E23" s="46" t="n">
        <f aca="false">'주별 매출'!D89</f>
        <v>49</v>
      </c>
      <c r="F23" s="12" t="n">
        <f aca="false">AVERAGE('월별 매출'!D89:F89)</f>
        <v>344227728</v>
      </c>
      <c r="G23" s="12" t="n">
        <f aca="false">AVERAGE('월별 매출'!J89:L89)</f>
        <v>350171457.333333</v>
      </c>
      <c r="H23" s="20" t="n">
        <f aca="false">IF(F23=0,"",G23/F23-1)</f>
        <v>0.0172668522895207</v>
      </c>
      <c r="I23" s="12" t="n">
        <f aca="false">'월별 매출'!L89</f>
        <v>321555443</v>
      </c>
      <c r="J23" s="20" t="n">
        <f aca="false">'월별 매출'!U89</f>
        <v>-0.153327578779146</v>
      </c>
      <c r="K23" s="12" t="n">
        <f aca="false">'주별 매출'!BM89</f>
        <v>75092601</v>
      </c>
      <c r="L23" s="20" t="n">
        <f aca="false">IF('주별 매출'!BL89=0,"",K23/'주별 매출'!BL89-1)</f>
        <v>-0.0388058488347028</v>
      </c>
      <c r="M23" s="12" t="n">
        <f aca="false">SUM('주별 매출'!BJ89:BM89)</f>
        <v>313156052</v>
      </c>
      <c r="N23" s="12" t="n">
        <f aca="false">SUM('주별 매출'!BF89:BI89)</f>
        <v>307356596</v>
      </c>
      <c r="O23" s="20" t="n">
        <f aca="false">IF(N23=0,"",M23/N23-1)</f>
        <v>0.0188688190703414</v>
      </c>
      <c r="P23" s="12" t="n">
        <f aca="false">'주별 매출'!M89</f>
        <v>64550555</v>
      </c>
      <c r="Q23" s="20" t="n">
        <f aca="false">IF(P23=0,"",K23/P23-1)</f>
        <v>0.163314567938262</v>
      </c>
      <c r="R23" s="20" t="n">
        <f aca="false">IF($M$8=0,"",M23/$M$8)</f>
        <v>0.0156876257963345</v>
      </c>
      <c r="S23" s="21" t="str">
        <f aca="false">IF(AND(M23=0,N23=0),"-",IF(N23=0,"● 신규 발생",IF(M23=0,"■ 매출 중단",IF(O23&gt;=0.05,"▲ 상승",IF(O23&lt;=-0.05,"▼ 하락","― 보합")))))</f>
        <v>― 보합</v>
      </c>
      <c r="T23" s="21" t="str">
        <f aca="false">IF(AND(F23=0,G23=0),"-",IF(F23=0,"● 신규 발생",IF(G23=0,"■ 매출 중단",IF(H23&gt;=0.05,"▲ 상승",IF(H23&lt;=-0.05,"▼ 하락","― 보합")))))</f>
        <v>― 보합</v>
      </c>
      <c r="U23" s="48"/>
    </row>
    <row r="24" customFormat="false" ht="15" hidden="false" customHeight="false" outlineLevel="0" collapsed="false">
      <c r="A24" s="21" t="n">
        <v>16</v>
      </c>
      <c r="B24" s="19" t="s">
        <v>181</v>
      </c>
      <c r="C24" s="22" t="s">
        <v>208</v>
      </c>
      <c r="D24" s="19" t="s">
        <v>209</v>
      </c>
      <c r="E24" s="46" t="n">
        <f aca="false">'주별 매출'!D93</f>
        <v>39</v>
      </c>
      <c r="F24" s="12" t="n">
        <f aca="false">AVERAGE('월별 매출'!D93:F93)</f>
        <v>293087894</v>
      </c>
      <c r="G24" s="12" t="n">
        <f aca="false">AVERAGE('월별 매출'!J93:L93)</f>
        <v>345481664.333333</v>
      </c>
      <c r="H24" s="20" t="n">
        <f aca="false">IF(F24=0,"",G24/F24-1)</f>
        <v>0.178764703032508</v>
      </c>
      <c r="I24" s="12" t="n">
        <f aca="false">'월별 매출'!L93</f>
        <v>356018386</v>
      </c>
      <c r="J24" s="20" t="n">
        <f aca="false">'월별 매출'!U93</f>
        <v>0.0281798718532971</v>
      </c>
      <c r="K24" s="12" t="n">
        <f aca="false">'주별 매출'!BM93</f>
        <v>76920879</v>
      </c>
      <c r="L24" s="20" t="n">
        <f aca="false">IF('주별 매출'!BL93=0,"",K24/'주별 매출'!BL93-1)</f>
        <v>0.00995368091807669</v>
      </c>
      <c r="M24" s="12" t="n">
        <f aca="false">SUM('주별 매출'!BJ93:BM93)</f>
        <v>279340598</v>
      </c>
      <c r="N24" s="12" t="n">
        <f aca="false">SUM('주별 매출'!BF93:BI93)</f>
        <v>316505279</v>
      </c>
      <c r="O24" s="20" t="n">
        <f aca="false">IF(N24=0,"",M24/N24-1)</f>
        <v>-0.117421994089394</v>
      </c>
      <c r="P24" s="12" t="n">
        <f aca="false">'주별 매출'!M93</f>
        <v>57309608</v>
      </c>
      <c r="Q24" s="20" t="n">
        <f aca="false">IF(P24=0,"",K24/P24-1)</f>
        <v>0.342198658905502</v>
      </c>
      <c r="R24" s="20" t="n">
        <f aca="false">IF($M$8=0,"",M24/$M$8)</f>
        <v>0.013993632705359</v>
      </c>
      <c r="S24" s="21" t="str">
        <f aca="false">IF(AND(M24=0,N24=0),"-",IF(N24=0,"● 신규 발생",IF(M24=0,"■ 매출 중단",IF(O24&gt;=0.05,"▲ 상승",IF(O24&lt;=-0.05,"▼ 하락","― 보합")))))</f>
        <v>▼ 하락</v>
      </c>
      <c r="T24" s="21" t="str">
        <f aca="false">IF(AND(F24=0,G24=0),"-",IF(F24=0,"● 신규 발생",IF(G24=0,"■ 매출 중단",IF(H24&gt;=0.05,"▲ 상승",IF(H24&lt;=-0.05,"▼ 하락","― 보합")))))</f>
        <v>▲ 상승</v>
      </c>
      <c r="U24" s="48"/>
    </row>
    <row r="25" customFormat="false" ht="15" hidden="false" customHeight="false" outlineLevel="0" collapsed="false">
      <c r="A25" s="21" t="n">
        <v>17</v>
      </c>
      <c r="B25" s="19" t="s">
        <v>181</v>
      </c>
      <c r="C25" s="22" t="s">
        <v>210</v>
      </c>
      <c r="D25" s="19" t="s">
        <v>211</v>
      </c>
      <c r="E25" s="46" t="n">
        <f aca="false">'주별 매출'!D44</f>
        <v>42</v>
      </c>
      <c r="F25" s="12" t="n">
        <f aca="false">AVERAGE('월별 매출'!D44:F44)</f>
        <v>270830086</v>
      </c>
      <c r="G25" s="12" t="n">
        <f aca="false">AVERAGE('월별 매출'!J44:L44)</f>
        <v>299897891</v>
      </c>
      <c r="H25" s="20" t="n">
        <f aca="false">IF(F25=0,"",G25/F25-1)</f>
        <v>0.107328566886029</v>
      </c>
      <c r="I25" s="12" t="n">
        <f aca="false">'월별 매출'!L44</f>
        <v>287180887</v>
      </c>
      <c r="J25" s="20" t="n">
        <f aca="false">'월별 매출'!U44</f>
        <v>-0.0428879268850221</v>
      </c>
      <c r="K25" s="12" t="n">
        <f aca="false">'주별 매출'!BM44</f>
        <v>66783714</v>
      </c>
      <c r="L25" s="20" t="n">
        <f aca="false">IF('주별 매출'!BL44=0,"",K25/'주별 매출'!BL44-1)</f>
        <v>-0.0284379654096888</v>
      </c>
      <c r="M25" s="12" t="n">
        <f aca="false">SUM('주별 매출'!BJ44:BM44)</f>
        <v>261652229</v>
      </c>
      <c r="N25" s="12" t="n">
        <f aca="false">SUM('주별 매출'!BF44:BI44)</f>
        <v>277174493</v>
      </c>
      <c r="O25" s="20" t="n">
        <f aca="false">IF(N25=0,"",M25/N25-1)</f>
        <v>-0.056001776469381</v>
      </c>
      <c r="P25" s="12" t="n">
        <f aca="false">'주별 매출'!M44</f>
        <v>61888510</v>
      </c>
      <c r="Q25" s="20" t="n">
        <f aca="false">IF(P25=0,"",K25/P25-1)</f>
        <v>0.0790971377401071</v>
      </c>
      <c r="R25" s="20" t="n">
        <f aca="false">IF($M$8=0,"",M25/$M$8)</f>
        <v>0.0131075297159795</v>
      </c>
      <c r="S25" s="21" t="str">
        <f aca="false">IF(AND(M25=0,N25=0),"-",IF(N25=0,"● 신규 발생",IF(M25=0,"■ 매출 중단",IF(O25&gt;=0.05,"▲ 상승",IF(O25&lt;=-0.05,"▼ 하락","― 보합")))))</f>
        <v>▼ 하락</v>
      </c>
      <c r="T25" s="21" t="str">
        <f aca="false">IF(AND(F25=0,G25=0),"-",IF(F25=0,"● 신규 발생",IF(G25=0,"■ 매출 중단",IF(H25&gt;=0.05,"▲ 상승",IF(H25&lt;=-0.05,"▼ 하락","― 보합")))))</f>
        <v>▲ 상승</v>
      </c>
      <c r="U25" s="48" t="s">
        <v>212</v>
      </c>
    </row>
    <row r="26" customFormat="false" ht="15" hidden="false" customHeight="false" outlineLevel="0" collapsed="false">
      <c r="A26" s="21" t="n">
        <v>18</v>
      </c>
      <c r="B26" s="19" t="s">
        <v>181</v>
      </c>
      <c r="C26" s="22" t="s">
        <v>213</v>
      </c>
      <c r="D26" s="19" t="s">
        <v>214</v>
      </c>
      <c r="E26" s="46" t="n">
        <f aca="false">'주별 매출'!D33</f>
        <v>193</v>
      </c>
      <c r="F26" s="12" t="n">
        <f aca="false">AVERAGE('월별 매출'!D33:F33)</f>
        <v>322441952</v>
      </c>
      <c r="G26" s="12" t="n">
        <f aca="false">AVERAGE('월별 매출'!J33:L33)</f>
        <v>311290664.333333</v>
      </c>
      <c r="H26" s="20" t="n">
        <f aca="false">IF(F26=0,"",G26/F26-1)</f>
        <v>-0.0345838610562272</v>
      </c>
      <c r="I26" s="12" t="n">
        <f aca="false">'월별 매출'!L33</f>
        <v>297556403</v>
      </c>
      <c r="J26" s="20" t="n">
        <f aca="false">'월별 매출'!U33</f>
        <v>-0.0960433363448473</v>
      </c>
      <c r="K26" s="12" t="n">
        <f aca="false">'주별 매출'!BM33</f>
        <v>57014380</v>
      </c>
      <c r="L26" s="20" t="n">
        <f aca="false">IF('주별 매출'!BL33=0,"",K26/'주별 매출'!BL33-1)</f>
        <v>-0.0426757991838234</v>
      </c>
      <c r="M26" s="12" t="n">
        <f aca="false">SUM('주별 매출'!BJ33:BM33)</f>
        <v>255379419</v>
      </c>
      <c r="N26" s="12" t="n">
        <f aca="false">SUM('주별 매출'!BF33:BI33)</f>
        <v>276840922</v>
      </c>
      <c r="O26" s="20" t="n">
        <f aca="false">IF(N26=0,"",M26/N26-1)</f>
        <v>-0.0775228706975626</v>
      </c>
      <c r="P26" s="12" t="n">
        <f aca="false">'주별 매출'!M33</f>
        <v>53048916</v>
      </c>
      <c r="Q26" s="20" t="n">
        <f aca="false">IF(P26=0,"",K26/P26-1)</f>
        <v>0.0747510844519423</v>
      </c>
      <c r="R26" s="20" t="n">
        <f aca="false">IF($M$8=0,"",M26/$M$8)</f>
        <v>0.0127932918293315</v>
      </c>
      <c r="S26" s="21" t="str">
        <f aca="false">IF(AND(M26=0,N26=0),"-",IF(N26=0,"● 신규 발생",IF(M26=0,"■ 매출 중단",IF(O26&gt;=0.05,"▲ 상승",IF(O26&lt;=-0.05,"▼ 하락","― 보합")))))</f>
        <v>▼ 하락</v>
      </c>
      <c r="T26" s="21" t="str">
        <f aca="false">IF(AND(F26=0,G26=0),"-",IF(F26=0,"● 신규 발생",IF(G26=0,"■ 매출 중단",IF(H26&gt;=0.05,"▲ 상승",IF(H26&lt;=-0.05,"▼ 하락","― 보합")))))</f>
        <v>― 보합</v>
      </c>
      <c r="U26" s="48"/>
    </row>
    <row r="27" customFormat="false" ht="15" hidden="false" customHeight="false" outlineLevel="0" collapsed="false">
      <c r="A27" s="21" t="n">
        <v>19</v>
      </c>
      <c r="B27" s="19" t="s">
        <v>181</v>
      </c>
      <c r="C27" s="22" t="s">
        <v>215</v>
      </c>
      <c r="D27" s="19" t="s">
        <v>216</v>
      </c>
      <c r="E27" s="46" t="n">
        <f aca="false">'주별 매출'!D77</f>
        <v>120</v>
      </c>
      <c r="F27" s="12" t="n">
        <f aca="false">AVERAGE('월별 매출'!D77:F77)</f>
        <v>231950487.333333</v>
      </c>
      <c r="G27" s="12" t="n">
        <f aca="false">AVERAGE('월별 매출'!J77:L77)</f>
        <v>302340777</v>
      </c>
      <c r="H27" s="20" t="n">
        <f aca="false">IF(F27=0,"",G27/F27-1)</f>
        <v>0.303471186786125</v>
      </c>
      <c r="I27" s="12" t="n">
        <f aca="false">'월별 매출'!L77</f>
        <v>262513875</v>
      </c>
      <c r="J27" s="20" t="n">
        <f aca="false">'월별 매출'!U77</f>
        <v>-0.182435617124558</v>
      </c>
      <c r="K27" s="12" t="n">
        <f aca="false">'주별 매출'!BM77</f>
        <v>55469374</v>
      </c>
      <c r="L27" s="20" t="n">
        <f aca="false">IF('주별 매출'!BL77=0,"",K27/'주별 매출'!BL77-1)</f>
        <v>-0.0390290615651672</v>
      </c>
      <c r="M27" s="12" t="n">
        <f aca="false">SUM('주별 매출'!BJ77:BM77)</f>
        <v>229617350</v>
      </c>
      <c r="N27" s="12" t="n">
        <f aca="false">SUM('주별 매출'!BF77:BI77)</f>
        <v>254514119</v>
      </c>
      <c r="O27" s="20" t="n">
        <f aca="false">IF(N27=0,"",M27/N27-1)</f>
        <v>-0.0978207774791464</v>
      </c>
      <c r="P27" s="12" t="n">
        <f aca="false">'주별 매출'!M77</f>
        <v>60256370</v>
      </c>
      <c r="Q27" s="20" t="n">
        <f aca="false">IF(P27=0,"",K27/P27-1)</f>
        <v>-0.079443816479486</v>
      </c>
      <c r="R27" s="20" t="n">
        <f aca="false">IF($M$8=0,"",M27/$M$8)</f>
        <v>0.0115027349468117</v>
      </c>
      <c r="S27" s="21" t="str">
        <f aca="false">IF(AND(M27=0,N27=0),"-",IF(N27=0,"● 신규 발생",IF(M27=0,"■ 매출 중단",IF(O27&gt;=0.05,"▲ 상승",IF(O27&lt;=-0.05,"▼ 하락","― 보합")))))</f>
        <v>▼ 하락</v>
      </c>
      <c r="T27" s="21" t="str">
        <f aca="false">IF(AND(F27=0,G27=0),"-",IF(F27=0,"● 신규 발생",IF(G27=0,"■ 매출 중단",IF(H27&gt;=0.05,"▲ 상승",IF(H27&lt;=-0.05,"▼ 하락","― 보합")))))</f>
        <v>▲ 상승</v>
      </c>
      <c r="U27" s="48"/>
    </row>
    <row r="28" customFormat="false" ht="15" hidden="false" customHeight="false" outlineLevel="0" collapsed="false">
      <c r="A28" s="21" t="n">
        <v>20</v>
      </c>
      <c r="B28" s="19" t="s">
        <v>181</v>
      </c>
      <c r="C28" s="22" t="s">
        <v>217</v>
      </c>
      <c r="D28" s="19" t="s">
        <v>218</v>
      </c>
      <c r="E28" s="46" t="n">
        <f aca="false">'주별 매출'!D84</f>
        <v>34</v>
      </c>
      <c r="F28" s="12" t="n">
        <f aca="false">AVERAGE('월별 매출'!D84:F84)</f>
        <v>250125118</v>
      </c>
      <c r="G28" s="12" t="n">
        <f aca="false">AVERAGE('월별 매출'!J84:L84)</f>
        <v>235268366</v>
      </c>
      <c r="H28" s="20" t="n">
        <f aca="false">IF(F28=0,"",G28/F28-1)</f>
        <v>-0.0593972813238213</v>
      </c>
      <c r="I28" s="12" t="n">
        <f aca="false">'월별 매출'!L84</f>
        <v>221498108</v>
      </c>
      <c r="J28" s="20" t="n">
        <f aca="false">'월별 매출'!U84</f>
        <v>-0.100938351148984</v>
      </c>
      <c r="K28" s="12" t="n">
        <f aca="false">'주별 매출'!BM84</f>
        <v>56388188</v>
      </c>
      <c r="L28" s="20" t="n">
        <f aca="false">IF('주별 매출'!BL84=0,"",K28/'주별 매출'!BL84-1)</f>
        <v>0.0564451548423848</v>
      </c>
      <c r="M28" s="12" t="n">
        <f aca="false">SUM('주별 매출'!BJ84:BM84)</f>
        <v>205541434</v>
      </c>
      <c r="N28" s="12" t="n">
        <f aca="false">SUM('주별 매출'!BF84:BI84)</f>
        <v>214292316</v>
      </c>
      <c r="O28" s="20" t="n">
        <f aca="false">IF(N28=0,"",M28/N28-1)</f>
        <v>-0.0408361912519533</v>
      </c>
      <c r="P28" s="12" t="n">
        <f aca="false">'주별 매출'!M84</f>
        <v>50180770</v>
      </c>
      <c r="Q28" s="20" t="n">
        <f aca="false">IF(P28=0,"",K28/P28-1)</f>
        <v>0.123701130931231</v>
      </c>
      <c r="R28" s="20" t="n">
        <f aca="false">IF($M$8=0,"",M28/$M$8)</f>
        <v>0.0102966462938867</v>
      </c>
      <c r="S28" s="21" t="str">
        <f aca="false">IF(AND(M28=0,N28=0),"-",IF(N28=0,"● 신규 발생",IF(M28=0,"■ 매출 중단",IF(O28&gt;=0.05,"▲ 상승",IF(O28&lt;=-0.05,"▼ 하락","― 보합")))))</f>
        <v>― 보합</v>
      </c>
      <c r="T28" s="21" t="str">
        <f aca="false">IF(AND(F28=0,G28=0),"-",IF(F28=0,"● 신규 발생",IF(G28=0,"■ 매출 중단",IF(H28&gt;=0.05,"▲ 상승",IF(H28&lt;=-0.05,"▼ 하락","― 보합")))))</f>
        <v>▼ 하락</v>
      </c>
      <c r="U28" s="48"/>
    </row>
    <row r="29" customFormat="false" ht="15" hidden="false" customHeight="false" outlineLevel="0" collapsed="false">
      <c r="A29" s="21" t="n">
        <v>21</v>
      </c>
      <c r="B29" s="19" t="s">
        <v>181</v>
      </c>
      <c r="C29" s="22" t="s">
        <v>219</v>
      </c>
      <c r="D29" s="19" t="s">
        <v>220</v>
      </c>
      <c r="E29" s="46" t="n">
        <f aca="false">'주별 매출'!D98</f>
        <v>43</v>
      </c>
      <c r="F29" s="12" t="n">
        <f aca="false">AVERAGE('월별 매출'!D98:F98)</f>
        <v>205192496.666667</v>
      </c>
      <c r="G29" s="12" t="n">
        <f aca="false">AVERAGE('월별 매출'!J98:L98)</f>
        <v>200327987.666667</v>
      </c>
      <c r="H29" s="20" t="n">
        <f aca="false">IF(F29=0,"",G29/F29-1)</f>
        <v>-0.0237070510814162</v>
      </c>
      <c r="I29" s="12" t="n">
        <f aca="false">'월별 매출'!L98</f>
        <v>219647396</v>
      </c>
      <c r="J29" s="20" t="n">
        <f aca="false">'월별 매출'!U98</f>
        <v>0.12296599382457</v>
      </c>
      <c r="K29" s="12" t="n">
        <f aca="false">'주별 매출'!BM98</f>
        <v>51855753</v>
      </c>
      <c r="L29" s="20" t="n">
        <f aca="false">IF('주별 매출'!BL98=0,"",K29/'주별 매출'!BL98-1)</f>
        <v>0.118415814771722</v>
      </c>
      <c r="M29" s="12" t="n">
        <f aca="false">SUM('주별 매출'!BJ98:BM98)</f>
        <v>192881064</v>
      </c>
      <c r="N29" s="12" t="n">
        <f aca="false">SUM('주별 매출'!BF98:BI98)</f>
        <v>204584713</v>
      </c>
      <c r="O29" s="20" t="n">
        <f aca="false">IF(N29=0,"",M29/N29-1)</f>
        <v>-0.0572068598302357</v>
      </c>
      <c r="P29" s="12" t="n">
        <f aca="false">'주별 매출'!M98</f>
        <v>44872386</v>
      </c>
      <c r="Q29" s="20" t="n">
        <f aca="false">IF(P29=0,"",K29/P29-1)</f>
        <v>0.155627271525076</v>
      </c>
      <c r="R29" s="20" t="n">
        <f aca="false">IF($M$8=0,"",M29/$M$8)</f>
        <v>0.00966242209245519</v>
      </c>
      <c r="S29" s="21" t="str">
        <f aca="false">IF(AND(M29=0,N29=0),"-",IF(N29=0,"● 신규 발생",IF(M29=0,"■ 매출 중단",IF(O29&gt;=0.05,"▲ 상승",IF(O29&lt;=-0.05,"▼ 하락","― 보합")))))</f>
        <v>▼ 하락</v>
      </c>
      <c r="T29" s="21" t="str">
        <f aca="false">IF(AND(F29=0,G29=0),"-",IF(F29=0,"● 신규 발생",IF(G29=0,"■ 매출 중단",IF(H29&gt;=0.05,"▲ 상승",IF(H29&lt;=-0.05,"▼ 하락","― 보합")))))</f>
        <v>― 보합</v>
      </c>
      <c r="U29" s="48"/>
    </row>
    <row r="30" customFormat="false" ht="15" hidden="false" customHeight="false" outlineLevel="0" collapsed="false">
      <c r="A30" s="21" t="n">
        <v>22</v>
      </c>
      <c r="B30" s="19" t="s">
        <v>181</v>
      </c>
      <c r="C30" s="22" t="s">
        <v>221</v>
      </c>
      <c r="D30" s="19" t="s">
        <v>70</v>
      </c>
      <c r="E30" s="46" t="n">
        <f aca="false">'주별 매출'!D37</f>
        <v>70</v>
      </c>
      <c r="F30" s="12" t="n">
        <f aca="false">AVERAGE('월별 매출'!D37:F37)</f>
        <v>271800127.333333</v>
      </c>
      <c r="G30" s="12" t="n">
        <f aca="false">AVERAGE('월별 매출'!J37:L37)</f>
        <v>225091886</v>
      </c>
      <c r="H30" s="20" t="n">
        <f aca="false">IF(F30=0,"",G30/F30-1)</f>
        <v>-0.171847753684275</v>
      </c>
      <c r="I30" s="12" t="n">
        <f aca="false">'월별 매출'!L37</f>
        <v>225175374</v>
      </c>
      <c r="J30" s="20" t="n">
        <f aca="false">'월별 매출'!U37</f>
        <v>0.0437968262389825</v>
      </c>
      <c r="K30" s="12" t="n">
        <f aca="false">'주별 매출'!BM37</f>
        <v>39354545</v>
      </c>
      <c r="L30" s="20" t="n">
        <f aca="false">IF('주별 매출'!BL37=0,"",K30/'주별 매출'!BL37-1)</f>
        <v>-0.145855511938085</v>
      </c>
      <c r="M30" s="12" t="n">
        <f aca="false">SUM('주별 매출'!BJ37:BM37)</f>
        <v>189562578</v>
      </c>
      <c r="N30" s="12" t="n">
        <f aca="false">SUM('주별 매출'!BF37:BI37)</f>
        <v>200912386</v>
      </c>
      <c r="O30" s="20" t="n">
        <f aca="false">IF(N30=0,"",M30/N30-1)</f>
        <v>-0.056491330504631</v>
      </c>
      <c r="P30" s="12" t="n">
        <f aca="false">'주별 매출'!M37</f>
        <v>70260734</v>
      </c>
      <c r="Q30" s="20" t="n">
        <f aca="false">IF(P30=0,"",K30/P30-1)</f>
        <v>-0.439878538701289</v>
      </c>
      <c r="R30" s="20" t="n">
        <f aca="false">IF($M$8=0,"",M30/$M$8)</f>
        <v>0.00949618175877525</v>
      </c>
      <c r="S30" s="21" t="str">
        <f aca="false">IF(AND(M30=0,N30=0),"-",IF(N30=0,"● 신규 발생",IF(M30=0,"■ 매출 중단",IF(O30&gt;=0.05,"▲ 상승",IF(O30&lt;=-0.05,"▼ 하락","― 보합")))))</f>
        <v>▼ 하락</v>
      </c>
      <c r="T30" s="21" t="str">
        <f aca="false">IF(AND(F30=0,G30=0),"-",IF(F30=0,"● 신규 발생",IF(G30=0,"■ 매출 중단",IF(H30&gt;=0.05,"▲ 상승",IF(H30&lt;=-0.05,"▼ 하락","― 보합")))))</f>
        <v>▼ 하락</v>
      </c>
      <c r="U30" s="48"/>
    </row>
    <row r="31" customFormat="false" ht="15" hidden="false" customHeight="false" outlineLevel="0" collapsed="false">
      <c r="A31" s="21" t="n">
        <v>23</v>
      </c>
      <c r="B31" s="19" t="s">
        <v>183</v>
      </c>
      <c r="C31" s="22" t="s">
        <v>222</v>
      </c>
      <c r="D31" s="19" t="s">
        <v>66</v>
      </c>
      <c r="E31" s="46" t="n">
        <f aca="false">'주별 매출'!D27</f>
        <v>48</v>
      </c>
      <c r="F31" s="12" t="n">
        <f aca="false">AVERAGE('월별 매출'!D27:F27)</f>
        <v>0</v>
      </c>
      <c r="G31" s="12" t="n">
        <f aca="false">AVERAGE('월별 매출'!J27:L27)</f>
        <v>29506198</v>
      </c>
      <c r="H31" s="20" t="str">
        <f aca="false">IF(F31=0,"",G31/F31-1)</f>
        <v/>
      </c>
      <c r="I31" s="12" t="n">
        <f aca="false">'월별 매출'!L27</f>
        <v>88518594</v>
      </c>
      <c r="J31" s="20" t="str">
        <f aca="false">'월별 매출'!U27</f>
        <v/>
      </c>
      <c r="K31" s="12" t="n">
        <f aca="false">'주별 매출'!BM27</f>
        <v>51039770</v>
      </c>
      <c r="L31" s="20" t="n">
        <f aca="false">IF('주별 매출'!BL27=0,"",K31/'주별 매출'!BL27-1)</f>
        <v>0.0618463810930576</v>
      </c>
      <c r="M31" s="12" t="n">
        <f aca="false">SUM('주별 매출'!BJ27:BM27)</f>
        <v>181559154</v>
      </c>
      <c r="N31" s="12" t="n">
        <f aca="false">SUM('주별 매출'!BF27:BI27)</f>
        <v>28781160</v>
      </c>
      <c r="O31" s="20" t="n">
        <f aca="false">IF(N31=0,"",M31/N31-1)</f>
        <v>5.30826394766577</v>
      </c>
      <c r="P31" s="12" t="n">
        <f aca="false">'주별 매출'!M27</f>
        <v>0</v>
      </c>
      <c r="Q31" s="20" t="str">
        <f aca="false">IF(P31=0,"",K31/P31-1)</f>
        <v/>
      </c>
      <c r="R31" s="20" t="n">
        <f aca="false">IF($M$8=0,"",M31/$M$8)</f>
        <v>0.00909524835832031</v>
      </c>
      <c r="S31" s="21" t="str">
        <f aca="false">IF(AND(M31=0,N31=0),"-",IF(N31=0,"● 신규 발생",IF(M31=0,"■ 매출 중단",IF(O31&gt;=0.05,"▲ 상승",IF(O31&lt;=-0.05,"▼ 하락","― 보합")))))</f>
        <v>▲ 상승</v>
      </c>
      <c r="T31" s="21" t="str">
        <f aca="false">IF(AND(F31=0,G31=0),"-",IF(F31=0,"● 신규 발생",IF(G31=0,"■ 매출 중단",IF(H31&gt;=0.05,"▲ 상승",IF(H31&lt;=-0.05,"▼ 하락","― 보합")))))</f>
        <v>● 신규 발생</v>
      </c>
      <c r="U31" s="48"/>
    </row>
    <row r="32" customFormat="false" ht="15" hidden="false" customHeight="false" outlineLevel="0" collapsed="false">
      <c r="A32" s="21" t="n">
        <v>24</v>
      </c>
      <c r="B32" s="19" t="s">
        <v>183</v>
      </c>
      <c r="C32" s="22" t="s">
        <v>223</v>
      </c>
      <c r="D32" s="19" t="s">
        <v>224</v>
      </c>
      <c r="E32" s="46" t="n">
        <f aca="false">'주별 매출'!D21</f>
        <v>26</v>
      </c>
      <c r="F32" s="12" t="n">
        <f aca="false">AVERAGE('월별 매출'!D21:F21)</f>
        <v>0</v>
      </c>
      <c r="G32" s="12" t="n">
        <f aca="false">AVERAGE('월별 매출'!J21:L21)</f>
        <v>205585573.333333</v>
      </c>
      <c r="H32" s="20" t="str">
        <f aca="false">IF(F32=0,"",G32/F32-1)</f>
        <v/>
      </c>
      <c r="I32" s="12" t="n">
        <f aca="false">'월별 매출'!L21</f>
        <v>191663380</v>
      </c>
      <c r="J32" s="20" t="n">
        <f aca="false">'월별 매출'!U21</f>
        <v>-0.057784664971076</v>
      </c>
      <c r="K32" s="12" t="n">
        <f aca="false">'주별 매출'!BM21</f>
        <v>41112660</v>
      </c>
      <c r="L32" s="20" t="n">
        <f aca="false">IF('주별 매출'!BL21=0,"",K32/'주별 매출'!BL21-1)</f>
        <v>-0.0806019107304549</v>
      </c>
      <c r="M32" s="12" t="n">
        <f aca="false">SUM('주별 매출'!BJ21:BM21)</f>
        <v>162145810</v>
      </c>
      <c r="N32" s="12" t="n">
        <f aca="false">SUM('주별 매출'!BF21:BI21)</f>
        <v>188554820</v>
      </c>
      <c r="O32" s="20" t="n">
        <f aca="false">IF(N32=0,"",M32/N32-1)</f>
        <v>-0.140060116203871</v>
      </c>
      <c r="P32" s="12" t="n">
        <f aca="false">'주별 매출'!M21</f>
        <v>0</v>
      </c>
      <c r="Q32" s="20" t="str">
        <f aca="false">IF(P32=0,"",K32/P32-1)</f>
        <v/>
      </c>
      <c r="R32" s="20" t="n">
        <f aca="false">IF($M$8=0,"",M32/$M$8)</f>
        <v>0.00812273234216005</v>
      </c>
      <c r="S32" s="21" t="str">
        <f aca="false">IF(AND(M32=0,N32=0),"-",IF(N32=0,"● 신규 발생",IF(M32=0,"■ 매출 중단",IF(O32&gt;=0.05,"▲ 상승",IF(O32&lt;=-0.05,"▼ 하락","― 보합")))))</f>
        <v>▼ 하락</v>
      </c>
      <c r="T32" s="21" t="str">
        <f aca="false">IF(AND(F32=0,G32=0),"-",IF(F32=0,"● 신규 발생",IF(G32=0,"■ 매출 중단",IF(H32&gt;=0.05,"▲ 상승",IF(H32&lt;=-0.05,"▼ 하락","― 보합")))))</f>
        <v>● 신규 발생</v>
      </c>
      <c r="U32" s="48"/>
    </row>
    <row r="33" customFormat="false" ht="15" hidden="false" customHeight="false" outlineLevel="0" collapsed="false">
      <c r="A33" s="21" t="n">
        <v>25</v>
      </c>
      <c r="B33" s="19" t="s">
        <v>181</v>
      </c>
      <c r="C33" s="22" t="s">
        <v>225</v>
      </c>
      <c r="D33" s="19" t="s">
        <v>64</v>
      </c>
      <c r="E33" s="46" t="n">
        <f aca="false">'주별 매출'!D78</f>
        <v>44</v>
      </c>
      <c r="F33" s="12" t="n">
        <f aca="false">AVERAGE('월별 매출'!D78:F78)</f>
        <v>110768096.333333</v>
      </c>
      <c r="G33" s="12" t="n">
        <f aca="false">AVERAGE('월별 매출'!J78:L78)</f>
        <v>194952187.666667</v>
      </c>
      <c r="H33" s="20" t="n">
        <f aca="false">IF(F33=0,"",G33/F33-1)</f>
        <v>0.760003052503484</v>
      </c>
      <c r="I33" s="12" t="n">
        <f aca="false">'월별 매출'!L78</f>
        <v>178729832</v>
      </c>
      <c r="J33" s="20" t="n">
        <f aca="false">'월별 매출'!U78</f>
        <v>-0.10606761093151</v>
      </c>
      <c r="K33" s="12" t="n">
        <f aca="false">'주별 매출'!BM78</f>
        <v>37274967</v>
      </c>
      <c r="L33" s="20" t="n">
        <f aca="false">IF('주별 매출'!BL78=0,"",K33/'주별 매출'!BL78-1)</f>
        <v>-0.0486758359849843</v>
      </c>
      <c r="M33" s="12" t="n">
        <f aca="false">SUM('주별 매출'!BJ78:BM78)</f>
        <v>150160541</v>
      </c>
      <c r="N33" s="12" t="n">
        <f aca="false">SUM('주별 매출'!BF78:BI78)</f>
        <v>168168993</v>
      </c>
      <c r="O33" s="20" t="n">
        <f aca="false">IF(N33=0,"",M33/N33-1)</f>
        <v>-0.107085448266911</v>
      </c>
      <c r="P33" s="12" t="n">
        <f aca="false">'주별 매출'!M78</f>
        <v>43721845</v>
      </c>
      <c r="Q33" s="20" t="n">
        <f aca="false">IF(P33=0,"",K33/P33-1)</f>
        <v>-0.147452103176341</v>
      </c>
      <c r="R33" s="20" t="n">
        <f aca="false">IF($M$8=0,"",M33/$M$8)</f>
        <v>0.00752232748349742</v>
      </c>
      <c r="S33" s="21" t="str">
        <f aca="false">IF(AND(M33=0,N33=0),"-",IF(N33=0,"● 신규 발생",IF(M33=0,"■ 매출 중단",IF(O33&gt;=0.05,"▲ 상승",IF(O33&lt;=-0.05,"▼ 하락","― 보합")))))</f>
        <v>▼ 하락</v>
      </c>
      <c r="T33" s="21" t="str">
        <f aca="false">IF(AND(F33=0,G33=0),"-",IF(F33=0,"● 신규 발생",IF(G33=0,"■ 매출 중단",IF(H33&gt;=0.05,"▲ 상승",IF(H33&lt;=-0.05,"▼ 하락","― 보합")))))</f>
        <v>▲ 상승</v>
      </c>
      <c r="U33" s="48"/>
    </row>
    <row r="34" customFormat="false" ht="15" hidden="false" customHeight="false" outlineLevel="0" collapsed="false">
      <c r="A34" s="21" t="n">
        <v>26</v>
      </c>
      <c r="B34" s="19" t="s">
        <v>181</v>
      </c>
      <c r="C34" s="22" t="s">
        <v>226</v>
      </c>
      <c r="D34" s="19" t="s">
        <v>227</v>
      </c>
      <c r="E34" s="46" t="n">
        <f aca="false">'주별 매출'!D82</f>
        <v>77</v>
      </c>
      <c r="F34" s="12" t="n">
        <f aca="false">AVERAGE('월별 매출'!D82:F82)</f>
        <v>166236202</v>
      </c>
      <c r="G34" s="12" t="n">
        <f aca="false">AVERAGE('월별 매출'!J82:L82)</f>
        <v>203149283</v>
      </c>
      <c r="H34" s="20" t="n">
        <f aca="false">IF(F34=0,"",G34/F34-1)</f>
        <v>0.22205199923901</v>
      </c>
      <c r="I34" s="12" t="n">
        <f aca="false">'월별 매출'!L82</f>
        <v>173425560</v>
      </c>
      <c r="J34" s="20" t="n">
        <f aca="false">'월별 매출'!U82</f>
        <v>-0.203948735685101</v>
      </c>
      <c r="K34" s="12" t="n">
        <f aca="false">'주별 매출'!BM82</f>
        <v>44824180</v>
      </c>
      <c r="L34" s="20" t="n">
        <f aca="false">IF('주별 매출'!BL82=0,"",K34/'주별 매출'!BL82-1)</f>
        <v>0.24109358889023</v>
      </c>
      <c r="M34" s="12" t="n">
        <f aca="false">SUM('주별 매출'!BJ82:BM82)</f>
        <v>149785510</v>
      </c>
      <c r="N34" s="12" t="n">
        <f aca="false">SUM('주별 매출'!BF82:BI82)</f>
        <v>180299900</v>
      </c>
      <c r="O34" s="20" t="n">
        <f aca="false">IF(N34=0,"",M34/N34-1)</f>
        <v>-0.169242412225409</v>
      </c>
      <c r="P34" s="12" t="n">
        <f aca="false">'주별 매출'!M82</f>
        <v>44990723</v>
      </c>
      <c r="Q34" s="20" t="n">
        <f aca="false">IF(P34=0,"",K34/P34-1)</f>
        <v>-0.00370171868542768</v>
      </c>
      <c r="R34" s="20" t="n">
        <f aca="false">IF($M$8=0,"",M34/$M$8)</f>
        <v>0.00750354021768393</v>
      </c>
      <c r="S34" s="21" t="str">
        <f aca="false">IF(AND(M34=0,N34=0),"-",IF(N34=0,"● 신규 발생",IF(M34=0,"■ 매출 중단",IF(O34&gt;=0.05,"▲ 상승",IF(O34&lt;=-0.05,"▼ 하락","― 보합")))))</f>
        <v>▼ 하락</v>
      </c>
      <c r="T34" s="21" t="str">
        <f aca="false">IF(AND(F34=0,G34=0),"-",IF(F34=0,"● 신규 발생",IF(G34=0,"■ 매출 중단",IF(H34&gt;=0.05,"▲ 상승",IF(H34&lt;=-0.05,"▼ 하락","― 보합")))))</f>
        <v>▲ 상승</v>
      </c>
      <c r="U34" s="48"/>
    </row>
    <row r="35" customFormat="false" ht="15" hidden="false" customHeight="false" outlineLevel="0" collapsed="false">
      <c r="A35" s="21" t="n">
        <v>27</v>
      </c>
      <c r="B35" s="19" t="s">
        <v>181</v>
      </c>
      <c r="C35" s="22" t="s">
        <v>228</v>
      </c>
      <c r="D35" s="19" t="s">
        <v>229</v>
      </c>
      <c r="E35" s="46" t="n">
        <f aca="false">'주별 매출'!D46</f>
        <v>26</v>
      </c>
      <c r="F35" s="12" t="n">
        <f aca="false">AVERAGE('월별 매출'!D46:F46)</f>
        <v>171850252.666667</v>
      </c>
      <c r="G35" s="12" t="n">
        <f aca="false">AVERAGE('월별 매출'!J46:L46)</f>
        <v>146398591.333333</v>
      </c>
      <c r="H35" s="20" t="n">
        <f aca="false">IF(F35=0,"",G35/F35-1)</f>
        <v>-0.14810371784964</v>
      </c>
      <c r="I35" s="12" t="n">
        <f aca="false">'월별 매출'!L46</f>
        <v>128474090</v>
      </c>
      <c r="J35" s="20" t="n">
        <f aca="false">'월별 매출'!U46</f>
        <v>-0.159838602593513</v>
      </c>
      <c r="K35" s="12" t="n">
        <f aca="false">'주별 매출'!BM46</f>
        <v>33840497</v>
      </c>
      <c r="L35" s="20" t="n">
        <f aca="false">IF('주별 매출'!BL46=0,"",K35/'주별 매출'!BL46-1)</f>
        <v>0.105007005785202</v>
      </c>
      <c r="M35" s="12" t="n">
        <f aca="false">SUM('주별 매출'!BJ46:BM46)</f>
        <v>118206607</v>
      </c>
      <c r="N35" s="12" t="n">
        <f aca="false">SUM('주별 매출'!BF46:BI46)</f>
        <v>127513000</v>
      </c>
      <c r="O35" s="20" t="n">
        <f aca="false">IF(N35=0,"",M35/N35-1)</f>
        <v>-0.072983876153804</v>
      </c>
      <c r="P35" s="12" t="n">
        <f aca="false">'주별 매출'!M46</f>
        <v>30696540</v>
      </c>
      <c r="Q35" s="20" t="n">
        <f aca="false">IF(P35=0,"",K35/P35-1)</f>
        <v>0.102420565966067</v>
      </c>
      <c r="R35" s="20" t="n">
        <f aca="false">IF($M$8=0,"",M35/$M$8)</f>
        <v>0.0059215876730697</v>
      </c>
      <c r="S35" s="21" t="str">
        <f aca="false">IF(AND(M35=0,N35=0),"-",IF(N35=0,"● 신규 발생",IF(M35=0,"■ 매출 중단",IF(O35&gt;=0.05,"▲ 상승",IF(O35&lt;=-0.05,"▼ 하락","― 보합")))))</f>
        <v>▼ 하락</v>
      </c>
      <c r="T35" s="21" t="str">
        <f aca="false">IF(AND(F35=0,G35=0),"-",IF(F35=0,"● 신규 발생",IF(G35=0,"■ 매출 중단",IF(H35&gt;=0.05,"▲ 상승",IF(H35&lt;=-0.05,"▼ 하락","― 보합")))))</f>
        <v>▼ 하락</v>
      </c>
      <c r="U35" s="48"/>
    </row>
    <row r="36" customFormat="false" ht="15" hidden="false" customHeight="false" outlineLevel="0" collapsed="false">
      <c r="A36" s="21" t="n">
        <v>28</v>
      </c>
      <c r="B36" s="19" t="s">
        <v>183</v>
      </c>
      <c r="C36" s="22" t="s">
        <v>230</v>
      </c>
      <c r="D36" s="19" t="s">
        <v>231</v>
      </c>
      <c r="E36" s="46" t="n">
        <f aca="false">'주별 매출'!D19</f>
        <v>13</v>
      </c>
      <c r="F36" s="12" t="n">
        <f aca="false">AVERAGE('월별 매출'!D19:F19)</f>
        <v>0</v>
      </c>
      <c r="G36" s="12" t="n">
        <f aca="false">AVERAGE('월별 매출'!J19:L19)</f>
        <v>131889043.333333</v>
      </c>
      <c r="H36" s="20" t="str">
        <f aca="false">IF(F36=0,"",G36/F36-1)</f>
        <v/>
      </c>
      <c r="I36" s="12" t="n">
        <f aca="false">'월별 매출'!L19</f>
        <v>134170680</v>
      </c>
      <c r="J36" s="20" t="n">
        <f aca="false">'월별 매출'!U19</f>
        <v>0.0033358110624373</v>
      </c>
      <c r="K36" s="12" t="n">
        <f aca="false">'주별 매출'!BM19</f>
        <v>28083090</v>
      </c>
      <c r="L36" s="20" t="n">
        <f aca="false">IF('주별 매출'!BL19=0,"",K36/'주별 매출'!BL19-1)</f>
        <v>-0.00843969307382353</v>
      </c>
      <c r="M36" s="12" t="n">
        <f aca="false">SUM('주별 매출'!BJ19:BM19)</f>
        <v>115466240</v>
      </c>
      <c r="N36" s="12" t="n">
        <f aca="false">SUM('주별 매출'!BF19:BI19)</f>
        <v>125406480</v>
      </c>
      <c r="O36" s="20" t="n">
        <f aca="false">IF(N36=0,"",M36/N36-1)</f>
        <v>-0.0792641656156843</v>
      </c>
      <c r="P36" s="12" t="n">
        <f aca="false">'주별 매출'!M19</f>
        <v>0</v>
      </c>
      <c r="Q36" s="20" t="str">
        <f aca="false">IF(P36=0,"",K36/P36-1)</f>
        <v/>
      </c>
      <c r="R36" s="20" t="n">
        <f aca="false">IF($M$8=0,"",M36/$M$8)</f>
        <v>0.00578430834614607</v>
      </c>
      <c r="S36" s="21" t="str">
        <f aca="false">IF(AND(M36=0,N36=0),"-",IF(N36=0,"● 신규 발생",IF(M36=0,"■ 매출 중단",IF(O36&gt;=0.05,"▲ 상승",IF(O36&lt;=-0.05,"▼ 하락","― 보합")))))</f>
        <v>▼ 하락</v>
      </c>
      <c r="T36" s="21" t="str">
        <f aca="false">IF(AND(F36=0,G36=0),"-",IF(F36=0,"● 신규 발생",IF(G36=0,"■ 매출 중단",IF(H36&gt;=0.05,"▲ 상승",IF(H36&lt;=-0.05,"▼ 하락","― 보합")))))</f>
        <v>● 신규 발생</v>
      </c>
      <c r="U36" s="48"/>
    </row>
    <row r="37" customFormat="false" ht="15" hidden="false" customHeight="false" outlineLevel="0" collapsed="false">
      <c r="A37" s="21" t="n">
        <v>29</v>
      </c>
      <c r="B37" s="19" t="s">
        <v>181</v>
      </c>
      <c r="C37" s="22" t="s">
        <v>232</v>
      </c>
      <c r="D37" s="19" t="s">
        <v>65</v>
      </c>
      <c r="E37" s="46" t="n">
        <f aca="false">'주별 매출'!D31</f>
        <v>44</v>
      </c>
      <c r="F37" s="12" t="n">
        <f aca="false">AVERAGE('월별 매출'!D31:F31)</f>
        <v>102724925</v>
      </c>
      <c r="G37" s="12" t="n">
        <f aca="false">AVERAGE('월별 매출'!J31:L31)</f>
        <v>148187264</v>
      </c>
      <c r="H37" s="20" t="n">
        <f aca="false">IF(F37=0,"",G37/F37-1)</f>
        <v>0.442563856824427</v>
      </c>
      <c r="I37" s="12" t="n">
        <f aca="false">'월별 매출'!L31</f>
        <v>134444334</v>
      </c>
      <c r="J37" s="20" t="n">
        <f aca="false">'월별 매출'!U31</f>
        <v>-0.110000445184027</v>
      </c>
      <c r="K37" s="12" t="n">
        <f aca="false">'주별 매출'!BM31</f>
        <v>23283396</v>
      </c>
      <c r="L37" s="20" t="n">
        <f aca="false">IF('주별 매출'!BL31=0,"",K37/'주별 매출'!BL31-1)</f>
        <v>-0.158264238280593</v>
      </c>
      <c r="M37" s="12" t="n">
        <f aca="false">SUM('주별 매출'!BJ31:BM31)</f>
        <v>114330574</v>
      </c>
      <c r="N37" s="12" t="n">
        <f aca="false">SUM('주별 매출'!BF31:BI31)</f>
        <v>123473433</v>
      </c>
      <c r="O37" s="20" t="n">
        <f aca="false">IF(N37=0,"",M37/N37-1)</f>
        <v>-0.0740471758001577</v>
      </c>
      <c r="P37" s="12" t="n">
        <f aca="false">'주별 매출'!M31</f>
        <v>25437539</v>
      </c>
      <c r="Q37" s="20" t="n">
        <f aca="false">IF(P37=0,"",K37/P37-1)</f>
        <v>-0.0846836244654013</v>
      </c>
      <c r="R37" s="20" t="n">
        <f aca="false">IF($M$8=0,"",M37/$M$8)</f>
        <v>0.0057274168917934</v>
      </c>
      <c r="S37" s="21" t="str">
        <f aca="false">IF(AND(M37=0,N37=0),"-",IF(N37=0,"● 신규 발생",IF(M37=0,"■ 매출 중단",IF(O37&gt;=0.05,"▲ 상승",IF(O37&lt;=-0.05,"▼ 하락","― 보합")))))</f>
        <v>▼ 하락</v>
      </c>
      <c r="T37" s="21" t="str">
        <f aca="false">IF(AND(F37=0,G37=0),"-",IF(F37=0,"● 신규 발생",IF(G37=0,"■ 매출 중단",IF(H37&gt;=0.05,"▲ 상승",IF(H37&lt;=-0.05,"▼ 하락","― 보합")))))</f>
        <v>▲ 상승</v>
      </c>
      <c r="U37" s="48"/>
    </row>
    <row r="38" customFormat="false" ht="15" hidden="false" customHeight="false" outlineLevel="0" collapsed="false">
      <c r="A38" s="21" t="n">
        <v>30</v>
      </c>
      <c r="B38" s="19" t="s">
        <v>181</v>
      </c>
      <c r="C38" s="22" t="s">
        <v>233</v>
      </c>
      <c r="D38" s="19" t="s">
        <v>234</v>
      </c>
      <c r="E38" s="46" t="n">
        <f aca="false">'주별 매출'!D39</f>
        <v>12</v>
      </c>
      <c r="F38" s="12" t="n">
        <f aca="false">AVERAGE('월별 매출'!D39:F39)</f>
        <v>120701306.666667</v>
      </c>
      <c r="G38" s="12" t="n">
        <f aca="false">AVERAGE('월별 매출'!J39:L39)</f>
        <v>126318793.333333</v>
      </c>
      <c r="H38" s="20" t="n">
        <f aca="false">IF(F38=0,"",G38/F38-1)</f>
        <v>0.0465403964696101</v>
      </c>
      <c r="I38" s="12" t="n">
        <f aca="false">'월별 매출'!L39</f>
        <v>121069235</v>
      </c>
      <c r="J38" s="20" t="n">
        <f aca="false">'월별 매출'!U39</f>
        <v>-0.0717259366794553</v>
      </c>
      <c r="K38" s="12" t="n">
        <f aca="false">'주별 매출'!BM39</f>
        <v>23780920</v>
      </c>
      <c r="L38" s="20" t="n">
        <f aca="false">IF('주별 매출'!BL39=0,"",K38/'주별 매출'!BL39-1)</f>
        <v>-0.0526818761511133</v>
      </c>
      <c r="M38" s="12" t="n">
        <f aca="false">SUM('주별 매출'!BJ39:BM39)</f>
        <v>105419580</v>
      </c>
      <c r="N38" s="12" t="n">
        <f aca="false">SUM('주별 매출'!BF39:BI39)</f>
        <v>111309385</v>
      </c>
      <c r="O38" s="20" t="n">
        <f aca="false">IF(N38=0,"",M38/N38-1)</f>
        <v>-0.0529138221363814</v>
      </c>
      <c r="P38" s="12" t="n">
        <f aca="false">'주별 매출'!M39</f>
        <v>27130180</v>
      </c>
      <c r="Q38" s="20" t="n">
        <f aca="false">IF(P38=0,"",K38/P38-1)</f>
        <v>-0.12345144779725</v>
      </c>
      <c r="R38" s="20" t="n">
        <f aca="false">IF($M$8=0,"",M38/$M$8)</f>
        <v>0.00528101855954791</v>
      </c>
      <c r="S38" s="21" t="str">
        <f aca="false">IF(AND(M38=0,N38=0),"-",IF(N38=0,"● 신규 발생",IF(M38=0,"■ 매출 중단",IF(O38&gt;=0.05,"▲ 상승",IF(O38&lt;=-0.05,"▼ 하락","― 보합")))))</f>
        <v>▼ 하락</v>
      </c>
      <c r="T38" s="21" t="str">
        <f aca="false">IF(AND(F38=0,G38=0),"-",IF(F38=0,"● 신규 발생",IF(G38=0,"■ 매출 중단",IF(H38&gt;=0.05,"▲ 상승",IF(H38&lt;=-0.05,"▼ 하락","― 보합")))))</f>
        <v>― 보합</v>
      </c>
      <c r="U38" s="48"/>
    </row>
    <row r="39" customFormat="false" ht="15" hidden="false" customHeight="false" outlineLevel="0" collapsed="false">
      <c r="A39" s="21" t="n">
        <v>31</v>
      </c>
      <c r="B39" s="19" t="s">
        <v>181</v>
      </c>
      <c r="C39" s="22" t="s">
        <v>235</v>
      </c>
      <c r="D39" s="19" t="s">
        <v>236</v>
      </c>
      <c r="E39" s="46" t="n">
        <f aca="false">'주별 매출'!D91</f>
        <v>20</v>
      </c>
      <c r="F39" s="12" t="n">
        <f aca="false">AVERAGE('월별 매출'!D91:F91)</f>
        <v>88236396.6666667</v>
      </c>
      <c r="G39" s="12" t="n">
        <f aca="false">AVERAGE('월별 매출'!J91:L91)</f>
        <v>93500708.6666667</v>
      </c>
      <c r="H39" s="20" t="n">
        <f aca="false">IF(F39=0,"",G39/F39-1)</f>
        <v>0.059661457163614</v>
      </c>
      <c r="I39" s="12" t="n">
        <f aca="false">'월별 매출'!L91</f>
        <v>93063759</v>
      </c>
      <c r="J39" s="20" t="n">
        <f aca="false">'월별 매출'!U91</f>
        <v>-0.00440335273794712</v>
      </c>
      <c r="K39" s="12" t="n">
        <f aca="false">'주별 매출'!BM91</f>
        <v>20265472</v>
      </c>
      <c r="L39" s="20" t="n">
        <f aca="false">IF('주별 매출'!BL91=0,"",K39/'주별 매출'!BL91-1)</f>
        <v>-0.137401302002072</v>
      </c>
      <c r="M39" s="12" t="n">
        <f aca="false">SUM('주별 매출'!BJ91:BM91)</f>
        <v>84543047</v>
      </c>
      <c r="N39" s="12" t="n">
        <f aca="false">SUM('주별 매출'!BF91:BI91)</f>
        <v>85592640</v>
      </c>
      <c r="O39" s="20" t="n">
        <f aca="false">IF(N39=0,"",M39/N39-1)</f>
        <v>-0.0122626548263963</v>
      </c>
      <c r="P39" s="12" t="n">
        <f aca="false">'주별 매출'!M91</f>
        <v>18539282</v>
      </c>
      <c r="Q39" s="20" t="n">
        <f aca="false">IF(P39=0,"",K39/P39-1)</f>
        <v>0.09310986261496</v>
      </c>
      <c r="R39" s="20" t="n">
        <f aca="false">IF($M$8=0,"",M39/$M$8)</f>
        <v>0.00423520374761245</v>
      </c>
      <c r="S39" s="21" t="str">
        <f aca="false">IF(AND(M39=0,N39=0),"-",IF(N39=0,"● 신규 발생",IF(M39=0,"■ 매출 중단",IF(O39&gt;=0.05,"▲ 상승",IF(O39&lt;=-0.05,"▼ 하락","― 보합")))))</f>
        <v>― 보합</v>
      </c>
      <c r="T39" s="21" t="str">
        <f aca="false">IF(AND(F39=0,G39=0),"-",IF(F39=0,"● 신규 발생",IF(G39=0,"■ 매출 중단",IF(H39&gt;=0.05,"▲ 상승",IF(H39&lt;=-0.05,"▼ 하락","― 보합")))))</f>
        <v>▲ 상승</v>
      </c>
      <c r="U39" s="48"/>
    </row>
    <row r="40" customFormat="false" ht="15" hidden="false" customHeight="false" outlineLevel="0" collapsed="false">
      <c r="A40" s="21" t="n">
        <v>32</v>
      </c>
      <c r="B40" s="19" t="s">
        <v>181</v>
      </c>
      <c r="C40" s="22" t="s">
        <v>237</v>
      </c>
      <c r="D40" s="19" t="s">
        <v>238</v>
      </c>
      <c r="E40" s="46" t="n">
        <f aca="false">'주별 매출'!D102</f>
        <v>45</v>
      </c>
      <c r="F40" s="12" t="n">
        <f aca="false">AVERAGE('월별 매출'!D102:F102)</f>
        <v>100234931.333333</v>
      </c>
      <c r="G40" s="12" t="n">
        <f aca="false">AVERAGE('월별 매출'!J102:L102)</f>
        <v>96495320</v>
      </c>
      <c r="H40" s="20" t="n">
        <f aca="false">IF(F40=0,"",G40/F40-1)</f>
        <v>-0.037308464061268</v>
      </c>
      <c r="I40" s="12" t="n">
        <f aca="false">'월별 매출'!L102</f>
        <v>96548640</v>
      </c>
      <c r="J40" s="20" t="n">
        <f aca="false">'월별 매출'!U102</f>
        <v>0.0440522732057809</v>
      </c>
      <c r="K40" s="12" t="n">
        <f aca="false">'주별 매출'!BM102</f>
        <v>19537390</v>
      </c>
      <c r="L40" s="20" t="n">
        <f aca="false">IF('주별 매출'!BL102=0,"",K40/'주별 매출'!BL102-1)</f>
        <v>-0.0942986969880714</v>
      </c>
      <c r="M40" s="12" t="n">
        <f aca="false">SUM('주별 매출'!BJ102:BM102)</f>
        <v>77125320</v>
      </c>
      <c r="N40" s="12" t="n">
        <f aca="false">SUM('주별 매출'!BF102:BI102)</f>
        <v>63865660</v>
      </c>
      <c r="O40" s="20" t="n">
        <f aca="false">IF(N40=0,"",M40/N40-1)</f>
        <v>0.207617990638475</v>
      </c>
      <c r="P40" s="12" t="n">
        <f aca="false">'주별 매출'!M102</f>
        <v>27203150</v>
      </c>
      <c r="Q40" s="20" t="n">
        <f aca="false">IF(P40=0,"",K40/P40-1)</f>
        <v>-0.281796777211463</v>
      </c>
      <c r="R40" s="20" t="n">
        <f aca="false">IF($M$8=0,"",M40/$M$8)</f>
        <v>0.00386361097559933</v>
      </c>
      <c r="S40" s="21" t="str">
        <f aca="false">IF(AND(M40=0,N40=0),"-",IF(N40=0,"● 신규 발생",IF(M40=0,"■ 매출 중단",IF(O40&gt;=0.05,"▲ 상승",IF(O40&lt;=-0.05,"▼ 하락","― 보합")))))</f>
        <v>▲ 상승</v>
      </c>
      <c r="T40" s="21" t="str">
        <f aca="false">IF(AND(F40=0,G40=0),"-",IF(F40=0,"● 신규 발생",IF(G40=0,"■ 매출 중단",IF(H40&gt;=0.05,"▲ 상승",IF(H40&lt;=-0.05,"▼ 하락","― 보합")))))</f>
        <v>― 보합</v>
      </c>
      <c r="U40" s="48"/>
    </row>
    <row r="41" customFormat="false" ht="15" hidden="false" customHeight="false" outlineLevel="0" collapsed="false">
      <c r="A41" s="21" t="n">
        <v>33</v>
      </c>
      <c r="B41" s="19" t="s">
        <v>181</v>
      </c>
      <c r="C41" s="22" t="s">
        <v>239</v>
      </c>
      <c r="D41" s="19" t="s">
        <v>240</v>
      </c>
      <c r="E41" s="46" t="n">
        <f aca="false">'주별 매출'!D96</f>
        <v>25</v>
      </c>
      <c r="F41" s="12" t="n">
        <f aca="false">AVERAGE('월별 매출'!D96:F96)</f>
        <v>96451261</v>
      </c>
      <c r="G41" s="12" t="n">
        <f aca="false">AVERAGE('월별 매출'!J96:L96)</f>
        <v>86974540.6666667</v>
      </c>
      <c r="H41" s="20" t="n">
        <f aca="false">IF(F41=0,"",G41/F41-1)</f>
        <v>-0.0982539806642168</v>
      </c>
      <c r="I41" s="12" t="n">
        <f aca="false">'월별 매출'!L96</f>
        <v>90894871</v>
      </c>
      <c r="J41" s="20" t="n">
        <f aca="false">'월별 매출'!U96</f>
        <v>0.111098845006864</v>
      </c>
      <c r="K41" s="12" t="n">
        <f aca="false">'주별 매출'!BM96</f>
        <v>12485315</v>
      </c>
      <c r="L41" s="20" t="n">
        <f aca="false">IF('주별 매출'!BL96=0,"",K41/'주별 매출'!BL96-1)</f>
        <v>-0.347521503941451</v>
      </c>
      <c r="M41" s="12" t="n">
        <f aca="false">SUM('주별 매출'!BJ96:BM96)</f>
        <v>76438059</v>
      </c>
      <c r="N41" s="12" t="n">
        <f aca="false">SUM('주별 매출'!BF96:BI96)</f>
        <v>78678322</v>
      </c>
      <c r="O41" s="20" t="n">
        <f aca="false">IF(N41=0,"",M41/N41-1)</f>
        <v>-0.0284737007990588</v>
      </c>
      <c r="P41" s="12" t="n">
        <f aca="false">'주별 매출'!M96</f>
        <v>19199565</v>
      </c>
      <c r="Q41" s="20" t="n">
        <f aca="false">IF(P41=0,"",K41/P41-1)</f>
        <v>-0.349708443915266</v>
      </c>
      <c r="R41" s="20" t="n">
        <f aca="false">IF($M$8=0,"",M41/$M$8)</f>
        <v>0.00382918247478142</v>
      </c>
      <c r="S41" s="21" t="str">
        <f aca="false">IF(AND(M41=0,N41=0),"-",IF(N41=0,"● 신규 발생",IF(M41=0,"■ 매출 중단",IF(O41&gt;=0.05,"▲ 상승",IF(O41&lt;=-0.05,"▼ 하락","― 보합")))))</f>
        <v>― 보합</v>
      </c>
      <c r="T41" s="21" t="str">
        <f aca="false">IF(AND(F41=0,G41=0),"-",IF(F41=0,"● 신규 발생",IF(G41=0,"■ 매출 중단",IF(H41&gt;=0.05,"▲ 상승",IF(H41&lt;=-0.05,"▼ 하락","― 보합")))))</f>
        <v>▼ 하락</v>
      </c>
      <c r="U41" s="48"/>
    </row>
    <row r="42" customFormat="false" ht="15" hidden="false" customHeight="false" outlineLevel="0" collapsed="false">
      <c r="A42" s="21" t="n">
        <v>34</v>
      </c>
      <c r="B42" s="19" t="s">
        <v>183</v>
      </c>
      <c r="C42" s="22" t="s">
        <v>241</v>
      </c>
      <c r="D42" s="19" t="s">
        <v>242</v>
      </c>
      <c r="E42" s="46" t="n">
        <f aca="false">'주별 매출'!D16</f>
        <v>28</v>
      </c>
      <c r="F42" s="12" t="n">
        <f aca="false">AVERAGE('월별 매출'!D16:F16)</f>
        <v>0</v>
      </c>
      <c r="G42" s="12" t="n">
        <f aca="false">AVERAGE('월별 매출'!J16:L16)</f>
        <v>78669869.3333333</v>
      </c>
      <c r="H42" s="20" t="str">
        <f aca="false">IF(F42=0,"",G42/F42-1)</f>
        <v/>
      </c>
      <c r="I42" s="12" t="n">
        <f aca="false">'월별 매출'!L16</f>
        <v>74971990</v>
      </c>
      <c r="J42" s="20" t="n">
        <f aca="false">'월별 매출'!U16</f>
        <v>-0.0365700810867252</v>
      </c>
      <c r="K42" s="12" t="n">
        <f aca="false">'주별 매출'!BM16</f>
        <v>18249773</v>
      </c>
      <c r="L42" s="20" t="n">
        <f aca="false">IF('주별 매출'!BL16=0,"",K42/'주별 매출'!BL16-1)</f>
        <v>-0.00194773006730842</v>
      </c>
      <c r="M42" s="12" t="n">
        <f aca="false">SUM('주별 매출'!BJ16:BM16)</f>
        <v>71135780</v>
      </c>
      <c r="N42" s="12" t="n">
        <f aca="false">SUM('주별 매출'!BF16:BI16)</f>
        <v>70419621</v>
      </c>
      <c r="O42" s="20" t="n">
        <f aca="false">IF(N42=0,"",M42/N42-1)</f>
        <v>0.0101698786478843</v>
      </c>
      <c r="P42" s="12" t="n">
        <f aca="false">'주별 매출'!M16</f>
        <v>0</v>
      </c>
      <c r="Q42" s="20" t="str">
        <f aca="false">IF(P42=0,"",K42/P42-1)</f>
        <v/>
      </c>
      <c r="R42" s="20" t="n">
        <f aca="false">IF($M$8=0,"",M42/$M$8)</f>
        <v>0.00356356356597054</v>
      </c>
      <c r="S42" s="21" t="str">
        <f aca="false">IF(AND(M42=0,N42=0),"-",IF(N42=0,"● 신규 발생",IF(M42=0,"■ 매출 중단",IF(O42&gt;=0.05,"▲ 상승",IF(O42&lt;=-0.05,"▼ 하락","― 보합")))))</f>
        <v>― 보합</v>
      </c>
      <c r="T42" s="21" t="str">
        <f aca="false">IF(AND(F42=0,G42=0),"-",IF(F42=0,"● 신규 발생",IF(G42=0,"■ 매출 중단",IF(H42&gt;=0.05,"▲ 상승",IF(H42&lt;=-0.05,"▼ 하락","― 보합")))))</f>
        <v>● 신규 발생</v>
      </c>
      <c r="U42" s="48"/>
    </row>
    <row r="43" customFormat="false" ht="15" hidden="false" customHeight="false" outlineLevel="0" collapsed="false">
      <c r="A43" s="21" t="n">
        <v>35</v>
      </c>
      <c r="B43" s="19" t="s">
        <v>181</v>
      </c>
      <c r="C43" s="22" t="s">
        <v>243</v>
      </c>
      <c r="D43" s="19" t="s">
        <v>244</v>
      </c>
      <c r="E43" s="46" t="n">
        <f aca="false">'주별 매출'!D40</f>
        <v>43</v>
      </c>
      <c r="F43" s="12" t="n">
        <f aca="false">AVERAGE('월별 매출'!D40:F40)</f>
        <v>86550432.6666667</v>
      </c>
      <c r="G43" s="12" t="n">
        <f aca="false">AVERAGE('월별 매출'!J40:L40)</f>
        <v>121989854</v>
      </c>
      <c r="H43" s="20" t="n">
        <f aca="false">IF(F43=0,"",G43/F43-1)</f>
        <v>0.409465559459672</v>
      </c>
      <c r="I43" s="12" t="n">
        <f aca="false">'월별 매출'!L40</f>
        <v>76998879</v>
      </c>
      <c r="J43" s="20" t="n">
        <f aca="false">'월별 매출'!U40</f>
        <v>-0.422065223996369</v>
      </c>
      <c r="K43" s="12" t="n">
        <f aca="false">'주별 매출'!BM40</f>
        <v>14672839</v>
      </c>
      <c r="L43" s="20" t="n">
        <f aca="false">IF('주별 매출'!BL40=0,"",K43/'주별 매출'!BL40-1)</f>
        <v>-0.0696132597385732</v>
      </c>
      <c r="M43" s="12" t="n">
        <f aca="false">SUM('주별 매출'!BJ40:BM40)</f>
        <v>65456109</v>
      </c>
      <c r="N43" s="12" t="n">
        <f aca="false">SUM('주별 매출'!BF40:BI40)</f>
        <v>78619542</v>
      </c>
      <c r="O43" s="20" t="n">
        <f aca="false">IF(N43=0,"",M43/N43-1)</f>
        <v>-0.167432074330832</v>
      </c>
      <c r="P43" s="12" t="n">
        <f aca="false">'주별 매출'!M40</f>
        <v>21094821</v>
      </c>
      <c r="Q43" s="20" t="n">
        <f aca="false">IF(P43=0,"",K43/P43-1)</f>
        <v>-0.304434059905035</v>
      </c>
      <c r="R43" s="20" t="n">
        <f aca="false">IF($M$8=0,"",M43/$M$8)</f>
        <v>0.00327903911649801</v>
      </c>
      <c r="S43" s="21" t="str">
        <f aca="false">IF(AND(M43=0,N43=0),"-",IF(N43=0,"● 신규 발생",IF(M43=0,"■ 매출 중단",IF(O43&gt;=0.05,"▲ 상승",IF(O43&lt;=-0.05,"▼ 하락","― 보합")))))</f>
        <v>▼ 하락</v>
      </c>
      <c r="T43" s="21" t="str">
        <f aca="false">IF(AND(F43=0,G43=0),"-",IF(F43=0,"● 신규 발생",IF(G43=0,"■ 매출 중단",IF(H43&gt;=0.05,"▲ 상승",IF(H43&lt;=-0.05,"▼ 하락","― 보합")))))</f>
        <v>▲ 상승</v>
      </c>
      <c r="U43" s="48"/>
    </row>
    <row r="44" customFormat="false" ht="15" hidden="false" customHeight="false" outlineLevel="0" collapsed="false">
      <c r="A44" s="21" t="n">
        <v>36</v>
      </c>
      <c r="B44" s="19" t="s">
        <v>183</v>
      </c>
      <c r="C44" s="22" t="s">
        <v>245</v>
      </c>
      <c r="D44" s="19" t="s">
        <v>246</v>
      </c>
      <c r="E44" s="46" t="n">
        <f aca="false">'주별 매출'!D23</f>
        <v>18</v>
      </c>
      <c r="F44" s="12" t="n">
        <f aca="false">AVERAGE('월별 매출'!D23:F23)</f>
        <v>0</v>
      </c>
      <c r="G44" s="12" t="n">
        <f aca="false">AVERAGE('월별 매출'!J23:L23)</f>
        <v>47403067</v>
      </c>
      <c r="H44" s="20" t="str">
        <f aca="false">IF(F44=0,"",G44/F44-1)</f>
        <v/>
      </c>
      <c r="I44" s="12" t="n">
        <f aca="false">'월별 매출'!L23</f>
        <v>67011715</v>
      </c>
      <c r="J44" s="20" t="n">
        <f aca="false">'월별 매출'!U23</f>
        <v>0.453843725800853</v>
      </c>
      <c r="K44" s="12" t="n">
        <f aca="false">'주별 매출'!BM23</f>
        <v>18766168</v>
      </c>
      <c r="L44" s="20" t="n">
        <f aca="false">IF('주별 매출'!BL23=0,"",K44/'주별 매출'!BL23-1)</f>
        <v>0.485443167228406</v>
      </c>
      <c r="M44" s="12" t="n">
        <f aca="false">SUM('주별 매출'!BJ23:BM23)</f>
        <v>64899668</v>
      </c>
      <c r="N44" s="12" t="n">
        <f aca="false">SUM('주별 매출'!BF23:BI23)</f>
        <v>53053383</v>
      </c>
      <c r="O44" s="20" t="n">
        <f aca="false">IF(N44=0,"",M44/N44-1)</f>
        <v>0.223289907827367</v>
      </c>
      <c r="P44" s="12" t="n">
        <f aca="false">'주별 매출'!M23</f>
        <v>0</v>
      </c>
      <c r="Q44" s="20" t="str">
        <f aca="false">IF(P44=0,"",K44/P44-1)</f>
        <v/>
      </c>
      <c r="R44" s="20" t="n">
        <f aca="false">IF($M$8=0,"",M44/$M$8)</f>
        <v>0.00325116407423078</v>
      </c>
      <c r="S44" s="21" t="str">
        <f aca="false">IF(AND(M44=0,N44=0),"-",IF(N44=0,"● 신규 발생",IF(M44=0,"■ 매출 중단",IF(O44&gt;=0.05,"▲ 상승",IF(O44&lt;=-0.05,"▼ 하락","― 보합")))))</f>
        <v>▲ 상승</v>
      </c>
      <c r="T44" s="21" t="str">
        <f aca="false">IF(AND(F44=0,G44=0),"-",IF(F44=0,"● 신규 발생",IF(G44=0,"■ 매출 중단",IF(H44&gt;=0.05,"▲ 상승",IF(H44&lt;=-0.05,"▼ 하락","― 보합")))))</f>
        <v>● 신규 발생</v>
      </c>
      <c r="U44" s="48"/>
    </row>
    <row r="45" customFormat="false" ht="15" hidden="false" customHeight="false" outlineLevel="0" collapsed="false">
      <c r="A45" s="21" t="n">
        <v>37</v>
      </c>
      <c r="B45" s="19" t="s">
        <v>181</v>
      </c>
      <c r="C45" s="22" t="s">
        <v>247</v>
      </c>
      <c r="D45" s="19" t="s">
        <v>248</v>
      </c>
      <c r="E45" s="46" t="n">
        <f aca="false">'주별 매출'!D106</f>
        <v>21</v>
      </c>
      <c r="F45" s="12" t="n">
        <f aca="false">AVERAGE('월별 매출'!D106:F106)</f>
        <v>88083697</v>
      </c>
      <c r="G45" s="12" t="n">
        <f aca="false">AVERAGE('월별 매출'!J106:L106)</f>
        <v>73394823.3333333</v>
      </c>
      <c r="H45" s="20" t="n">
        <f aca="false">IF(F45=0,"",G45/F45-1)</f>
        <v>-0.166760412731844</v>
      </c>
      <c r="I45" s="12" t="n">
        <f aca="false">'월별 매출'!L106</f>
        <v>71746330</v>
      </c>
      <c r="J45" s="20" t="n">
        <f aca="false">'월별 매출'!U106</f>
        <v>0.00896200975825168</v>
      </c>
      <c r="K45" s="12" t="n">
        <f aca="false">'주별 매출'!BM106</f>
        <v>15903730</v>
      </c>
      <c r="L45" s="20" t="n">
        <f aca="false">IF('주별 매출'!BL106=0,"",K45/'주별 매출'!BL106-1)</f>
        <v>-0.163765684260451</v>
      </c>
      <c r="M45" s="12" t="n">
        <f aca="false">SUM('주별 매출'!BJ106:BM106)</f>
        <v>63597450</v>
      </c>
      <c r="N45" s="12" t="n">
        <f aca="false">SUM('주별 매출'!BF106:BI106)</f>
        <v>69537960</v>
      </c>
      <c r="O45" s="20" t="n">
        <f aca="false">IF(N45=0,"",M45/N45-1)</f>
        <v>-0.0854283041952914</v>
      </c>
      <c r="P45" s="12" t="n">
        <f aca="false">'주별 매출'!M106</f>
        <v>22529968</v>
      </c>
      <c r="Q45" s="20" t="n">
        <f aca="false">IF(P45=0,"",K45/P45-1)</f>
        <v>-0.294107741298168</v>
      </c>
      <c r="R45" s="20" t="n">
        <f aca="false">IF($M$8=0,"",M45/$M$8)</f>
        <v>0.00318592915841554</v>
      </c>
      <c r="S45" s="21" t="str">
        <f aca="false">IF(AND(M45=0,N45=0),"-",IF(N45=0,"● 신규 발생",IF(M45=0,"■ 매출 중단",IF(O45&gt;=0.05,"▲ 상승",IF(O45&lt;=-0.05,"▼ 하락","― 보합")))))</f>
        <v>▼ 하락</v>
      </c>
      <c r="T45" s="21" t="str">
        <f aca="false">IF(AND(F45=0,G45=0),"-",IF(F45=0,"● 신규 발생",IF(G45=0,"■ 매출 중단",IF(H45&gt;=0.05,"▲ 상승",IF(H45&lt;=-0.05,"▼ 하락","― 보합")))))</f>
        <v>▼ 하락</v>
      </c>
      <c r="U45" s="48"/>
    </row>
    <row r="46" customFormat="false" ht="15" hidden="false" customHeight="false" outlineLevel="0" collapsed="false">
      <c r="A46" s="21" t="n">
        <v>38</v>
      </c>
      <c r="B46" s="19" t="s">
        <v>181</v>
      </c>
      <c r="C46" s="22" t="s">
        <v>249</v>
      </c>
      <c r="D46" s="19" t="s">
        <v>71</v>
      </c>
      <c r="E46" s="46" t="n">
        <f aca="false">'주별 매출'!D67</f>
        <v>12</v>
      </c>
      <c r="F46" s="12" t="n">
        <f aca="false">AVERAGE('월별 매출'!D67:F67)</f>
        <v>82988813.3333333</v>
      </c>
      <c r="G46" s="12" t="n">
        <f aca="false">AVERAGE('월별 매출'!J67:L67)</f>
        <v>65750958.3333333</v>
      </c>
      <c r="H46" s="20" t="n">
        <f aca="false">IF(F46=0,"",G46/F46-1)</f>
        <v>-0.207712995373995</v>
      </c>
      <c r="I46" s="12" t="n">
        <f aca="false">'월별 매출'!L67</f>
        <v>63846025</v>
      </c>
      <c r="J46" s="20" t="n">
        <f aca="false">'월별 매출'!U67</f>
        <v>-0.0505281347813494</v>
      </c>
      <c r="K46" s="12" t="n">
        <f aca="false">'주별 매출'!BM67</f>
        <v>14214540</v>
      </c>
      <c r="L46" s="20" t="n">
        <f aca="false">IF('주별 매출'!BL67=0,"",K46/'주별 매출'!BL67-1)</f>
        <v>-0.13523369065794</v>
      </c>
      <c r="M46" s="12" t="n">
        <f aca="false">SUM('주별 매출'!BJ67:BM67)</f>
        <v>56761865</v>
      </c>
      <c r="N46" s="12" t="n">
        <f aca="false">SUM('주별 매출'!BF67:BI67)</f>
        <v>61463495</v>
      </c>
      <c r="O46" s="20" t="n">
        <f aca="false">IF(N46=0,"",M46/N46-1)</f>
        <v>-0.0764946737897023</v>
      </c>
      <c r="P46" s="12" t="n">
        <f aca="false">'주별 매출'!M67</f>
        <v>20260658</v>
      </c>
      <c r="Q46" s="20" t="n">
        <f aca="false">IF(P46=0,"",K46/P46-1)</f>
        <v>-0.298416665440974</v>
      </c>
      <c r="R46" s="20" t="n">
        <f aca="false">IF($M$8=0,"",M46/$M$8)</f>
        <v>0.0028434989262863</v>
      </c>
      <c r="S46" s="21" t="str">
        <f aca="false">IF(AND(M46=0,N46=0),"-",IF(N46=0,"● 신규 발생",IF(M46=0,"■ 매출 중단",IF(O46&gt;=0.05,"▲ 상승",IF(O46&lt;=-0.05,"▼ 하락","― 보합")))))</f>
        <v>▼ 하락</v>
      </c>
      <c r="T46" s="21" t="str">
        <f aca="false">IF(AND(F46=0,G46=0),"-",IF(F46=0,"● 신규 발생",IF(G46=0,"■ 매출 중단",IF(H46&gt;=0.05,"▲ 상승",IF(H46&lt;=-0.05,"▼ 하락","― 보합")))))</f>
        <v>▼ 하락</v>
      </c>
      <c r="U46" s="48"/>
    </row>
    <row r="47" customFormat="false" ht="15" hidden="false" customHeight="false" outlineLevel="0" collapsed="false">
      <c r="A47" s="21" t="n">
        <v>39</v>
      </c>
      <c r="B47" s="19" t="s">
        <v>181</v>
      </c>
      <c r="C47" s="22" t="s">
        <v>250</v>
      </c>
      <c r="D47" s="19" t="s">
        <v>251</v>
      </c>
      <c r="E47" s="46" t="n">
        <f aca="false">'주별 매출'!D71</f>
        <v>11</v>
      </c>
      <c r="F47" s="12" t="n">
        <f aca="false">AVERAGE('월별 매출'!D71:F71)</f>
        <v>66235672.3333333</v>
      </c>
      <c r="G47" s="12" t="n">
        <f aca="false">AVERAGE('월별 매출'!J71:L71)</f>
        <v>93388514</v>
      </c>
      <c r="H47" s="20" t="n">
        <f aca="false">IF(F47=0,"",G47/F47-1)</f>
        <v>0.409942870814673</v>
      </c>
      <c r="I47" s="12" t="n">
        <f aca="false">'월별 매출'!L71</f>
        <v>97426135</v>
      </c>
      <c r="J47" s="20" t="n">
        <f aca="false">'월별 매출'!U71</f>
        <v>0.0261571763567463</v>
      </c>
      <c r="K47" s="12" t="n">
        <f aca="false">'주별 매출'!BM71</f>
        <v>70117652</v>
      </c>
      <c r="L47" s="20" t="n">
        <f aca="false">IF('주별 매출'!BL71=0,"",K47/'주별 매출'!BL71-1)</f>
        <v>0.159870338298628</v>
      </c>
      <c r="M47" s="12" t="n">
        <f aca="false">SUM('주별 매출'!BJ71:BM71)</f>
        <v>56041215</v>
      </c>
      <c r="N47" s="12" t="n">
        <f aca="false">SUM('주별 매출'!BF71:BI71)</f>
        <v>82585140</v>
      </c>
      <c r="O47" s="20" t="n">
        <f aca="false">IF(N47=0,"",M47/N47-1)</f>
        <v>-0.321412847396033</v>
      </c>
      <c r="P47" s="12" t="n">
        <f aca="false">'주별 매출'!M71</f>
        <v>44057644</v>
      </c>
      <c r="Q47" s="20" t="n">
        <f aca="false">IF(P47=0,"",K47/P47-1)</f>
        <v>0.591497992947603</v>
      </c>
      <c r="R47" s="20" t="n">
        <f aca="false">IF($M$8=0,"",M47/$M$8)</f>
        <v>0.00280739779569046</v>
      </c>
      <c r="S47" s="21" t="str">
        <f aca="false">IF(AND(M47=0,N47=0),"-",IF(N47=0,"● 신규 발생",IF(M47=0,"■ 매출 중단",IF(O47&gt;=0.05,"▲ 상승",IF(O47&lt;=-0.05,"▼ 하락","― 보합")))))</f>
        <v>▼ 하락</v>
      </c>
      <c r="T47" s="21" t="str">
        <f aca="false">IF(AND(F47=0,G47=0),"-",IF(F47=0,"● 신규 발생",IF(G47=0,"■ 매출 중단",IF(H47&gt;=0.05,"▲ 상승",IF(H47&lt;=-0.05,"▼ 하락","― 보합")))))</f>
        <v>▲ 상승</v>
      </c>
      <c r="U47" s="48" t="s">
        <v>252</v>
      </c>
    </row>
    <row r="48" customFormat="false" ht="15" hidden="false" customHeight="false" outlineLevel="0" collapsed="false">
      <c r="A48" s="21" t="n">
        <v>40</v>
      </c>
      <c r="B48" s="19" t="s">
        <v>183</v>
      </c>
      <c r="C48" s="22" t="s">
        <v>253</v>
      </c>
      <c r="D48" s="19" t="s">
        <v>254</v>
      </c>
      <c r="E48" s="46" t="n">
        <f aca="false">'주별 매출'!D25</f>
        <v>8</v>
      </c>
      <c r="F48" s="12" t="n">
        <f aca="false">AVERAGE('월별 매출'!D25:F25)</f>
        <v>0</v>
      </c>
      <c r="G48" s="12" t="n">
        <f aca="false">AVERAGE('월별 매출'!J25:L25)</f>
        <v>1281085.66666667</v>
      </c>
      <c r="H48" s="20" t="str">
        <f aca="false">IF(F48=0,"",G48/F48-1)</f>
        <v/>
      </c>
      <c r="I48" s="12" t="n">
        <f aca="false">'월별 매출'!L25</f>
        <v>1705734</v>
      </c>
      <c r="J48" s="20" t="n">
        <f aca="false">'월별 매출'!U25</f>
        <v>-0.160132056101686</v>
      </c>
      <c r="K48" s="12" t="n">
        <f aca="false">'주별 매출'!BM25</f>
        <v>13049710</v>
      </c>
      <c r="L48" s="20" t="n">
        <f aca="false">IF('주별 매출'!BL25=0,"",K48/'주별 매출'!BL25-1)</f>
        <v>0.0690892795406992</v>
      </c>
      <c r="M48" s="12" t="n">
        <f aca="false">SUM('주별 매출'!BJ25:BM25)</f>
        <v>42620600</v>
      </c>
      <c r="N48" s="12" t="n">
        <f aca="false">SUM('주별 매출'!BF25:BI25)</f>
        <v>34104154</v>
      </c>
      <c r="O48" s="20" t="n">
        <f aca="false">IF(N48=0,"",M48/N48-1)</f>
        <v>0.249718729278551</v>
      </c>
      <c r="P48" s="12" t="n">
        <f aca="false">'주별 매출'!M25</f>
        <v>0</v>
      </c>
      <c r="Q48" s="20" t="str">
        <f aca="false">IF(P48=0,"",K48/P48-1)</f>
        <v/>
      </c>
      <c r="R48" s="20" t="n">
        <f aca="false">IF($M$8=0,"",M48/$M$8)</f>
        <v>0.00213508894286116</v>
      </c>
      <c r="S48" s="21" t="str">
        <f aca="false">IF(AND(M48=0,N48=0),"-",IF(N48=0,"● 신규 발생",IF(M48=0,"■ 매출 중단",IF(O48&gt;=0.05,"▲ 상승",IF(O48&lt;=-0.05,"▼ 하락","― 보합")))))</f>
        <v>▲ 상승</v>
      </c>
      <c r="T48" s="21" t="str">
        <f aca="false">IF(AND(F48=0,G48=0),"-",IF(F48=0,"● 신규 발생",IF(G48=0,"■ 매출 중단",IF(H48&gt;=0.05,"▲ 상승",IF(H48&lt;=-0.05,"▼ 하락","― 보합")))))</f>
        <v>● 신규 발생</v>
      </c>
      <c r="U48" s="48" t="s">
        <v>255</v>
      </c>
    </row>
    <row r="49" customFormat="false" ht="15" hidden="false" customHeight="false" outlineLevel="0" collapsed="false">
      <c r="A49" s="21" t="n">
        <v>41</v>
      </c>
      <c r="B49" s="19" t="s">
        <v>181</v>
      </c>
      <c r="C49" s="22" t="s">
        <v>256</v>
      </c>
      <c r="D49" s="19" t="s">
        <v>257</v>
      </c>
      <c r="E49" s="46" t="n">
        <f aca="false">'주별 매출'!D68</f>
        <v>8</v>
      </c>
      <c r="F49" s="12" t="n">
        <f aca="false">AVERAGE('월별 매출'!D68:F68)</f>
        <v>63127372.6666667</v>
      </c>
      <c r="G49" s="12" t="n">
        <f aca="false">AVERAGE('월별 매출'!J68:L68)</f>
        <v>41379136.6666667</v>
      </c>
      <c r="H49" s="20" t="n">
        <f aca="false">IF(F49=0,"",G49/F49-1)</f>
        <v>-0.344513561729202</v>
      </c>
      <c r="I49" s="12" t="n">
        <f aca="false">'월별 매출'!L68</f>
        <v>42490950</v>
      </c>
      <c r="J49" s="20" t="n">
        <f aca="false">'월별 매출'!U68</f>
        <v>0.070155983899411</v>
      </c>
      <c r="K49" s="12" t="n">
        <f aca="false">'주별 매출'!BM68</f>
        <v>10003270</v>
      </c>
      <c r="L49" s="20" t="n">
        <f aca="false">IF('주별 매출'!BL68=0,"",K49/'주별 매출'!BL68-1)</f>
        <v>-0.0661195293660745</v>
      </c>
      <c r="M49" s="12" t="n">
        <f aca="false">SUM('주별 매출'!BJ68:BM68)</f>
        <v>42301630</v>
      </c>
      <c r="N49" s="12" t="n">
        <f aca="false">SUM('주별 매출'!BF68:BI68)</f>
        <v>35818760</v>
      </c>
      <c r="O49" s="20" t="n">
        <f aca="false">IF(N49=0,"",M49/N49-1)</f>
        <v>0.180990910908139</v>
      </c>
      <c r="P49" s="12" t="n">
        <f aca="false">'주별 매출'!M68</f>
        <v>13787580</v>
      </c>
      <c r="Q49" s="20" t="n">
        <f aca="false">IF(P49=0,"",K49/P49-1)</f>
        <v>-0.274472387467561</v>
      </c>
      <c r="R49" s="20" t="n">
        <f aca="false">IF($M$8=0,"",M49/$M$8)</f>
        <v>0.00211911006597758</v>
      </c>
      <c r="S49" s="21" t="str">
        <f aca="false">IF(AND(M49=0,N49=0),"-",IF(N49=0,"● 신규 발생",IF(M49=0,"■ 매출 중단",IF(O49&gt;=0.05,"▲ 상승",IF(O49&lt;=-0.05,"▼ 하락","― 보합")))))</f>
        <v>▲ 상승</v>
      </c>
      <c r="T49" s="21" t="str">
        <f aca="false">IF(AND(F49=0,G49=0),"-",IF(F49=0,"● 신규 발생",IF(G49=0,"■ 매출 중단",IF(H49&gt;=0.05,"▲ 상승",IF(H49&lt;=-0.05,"▼ 하락","― 보합")))))</f>
        <v>▼ 하락</v>
      </c>
      <c r="U49" s="48"/>
    </row>
    <row r="50" customFormat="false" ht="15" hidden="false" customHeight="false" outlineLevel="0" collapsed="false">
      <c r="A50" s="21" t="n">
        <v>42</v>
      </c>
      <c r="B50" s="19" t="s">
        <v>181</v>
      </c>
      <c r="C50" s="22" t="s">
        <v>258</v>
      </c>
      <c r="D50" s="19" t="s">
        <v>259</v>
      </c>
      <c r="E50" s="46" t="n">
        <f aca="false">'주별 매출'!D49</f>
        <v>34</v>
      </c>
      <c r="F50" s="12" t="n">
        <f aca="false">AVERAGE('월별 매출'!D49:F49)</f>
        <v>53322347</v>
      </c>
      <c r="G50" s="12" t="n">
        <f aca="false">AVERAGE('월별 매출'!J49:L49)</f>
        <v>52687542.6666667</v>
      </c>
      <c r="H50" s="20" t="n">
        <f aca="false">IF(F50=0,"",G50/F50-1)</f>
        <v>-0.0119050336125177</v>
      </c>
      <c r="I50" s="12" t="n">
        <f aca="false">'월별 매출'!L49</f>
        <v>53945334</v>
      </c>
      <c r="J50" s="20" t="n">
        <f aca="false">'월별 매출'!U49</f>
        <v>0.126716765168053</v>
      </c>
      <c r="K50" s="12" t="n">
        <f aca="false">'주별 매출'!BM49</f>
        <v>10542570</v>
      </c>
      <c r="L50" s="20" t="n">
        <f aca="false">IF('주별 매출'!BL49=0,"",K50/'주별 매출'!BL49-1)</f>
        <v>-0.0625301780135998</v>
      </c>
      <c r="M50" s="12" t="n">
        <f aca="false">SUM('주별 매출'!BJ49:BM49)</f>
        <v>42265930</v>
      </c>
      <c r="N50" s="12" t="n">
        <f aca="false">SUM('주별 매출'!BF49:BI49)</f>
        <v>52833775</v>
      </c>
      <c r="O50" s="20" t="n">
        <f aca="false">IF(N50=0,"",M50/N50-1)</f>
        <v>-0.200020630742361</v>
      </c>
      <c r="P50" s="12" t="n">
        <f aca="false">'주별 매출'!M49</f>
        <v>15518906</v>
      </c>
      <c r="Q50" s="20" t="n">
        <f aca="false">IF(P50=0,"",K50/P50-1)</f>
        <v>-0.320662809607842</v>
      </c>
      <c r="R50" s="20" t="n">
        <f aca="false">IF($M$8=0,"",M50/$M$8)</f>
        <v>0.00211732166611319</v>
      </c>
      <c r="S50" s="21" t="str">
        <f aca="false">IF(AND(M50=0,N50=0),"-",IF(N50=0,"● 신규 발생",IF(M50=0,"■ 매출 중단",IF(O50&gt;=0.05,"▲ 상승",IF(O50&lt;=-0.05,"▼ 하락","― 보합")))))</f>
        <v>▼ 하락</v>
      </c>
      <c r="T50" s="21" t="str">
        <f aca="false">IF(AND(F50=0,G50=0),"-",IF(F50=0,"● 신규 발생",IF(G50=0,"■ 매출 중단",IF(H50&gt;=0.05,"▲ 상승",IF(H50&lt;=-0.05,"▼ 하락","― 보합")))))</f>
        <v>― 보합</v>
      </c>
      <c r="U50" s="48"/>
    </row>
    <row r="51" customFormat="false" ht="15" hidden="false" customHeight="false" outlineLevel="0" collapsed="false">
      <c r="A51" s="21" t="n">
        <v>43</v>
      </c>
      <c r="B51" s="19" t="s">
        <v>183</v>
      </c>
      <c r="C51" s="22" t="s">
        <v>260</v>
      </c>
      <c r="D51" s="19" t="s">
        <v>261</v>
      </c>
      <c r="E51" s="46" t="n">
        <f aca="false">'주별 매출'!D15</f>
        <v>18</v>
      </c>
      <c r="F51" s="12" t="n">
        <f aca="false">AVERAGE('월별 매출'!D15:F15)</f>
        <v>0</v>
      </c>
      <c r="G51" s="12" t="n">
        <f aca="false">AVERAGE('월별 매출'!J15:L15)</f>
        <v>39379056.6666667</v>
      </c>
      <c r="H51" s="20" t="str">
        <f aca="false">IF(F51=0,"",G51/F51-1)</f>
        <v/>
      </c>
      <c r="I51" s="12" t="n">
        <f aca="false">'월별 매출'!L15</f>
        <v>40998640</v>
      </c>
      <c r="J51" s="20" t="n">
        <f aca="false">'월별 매출'!U15</f>
        <v>0.073717048887697</v>
      </c>
      <c r="K51" s="12" t="n">
        <f aca="false">'주별 매출'!BM15</f>
        <v>11481230</v>
      </c>
      <c r="L51" s="20" t="n">
        <f aca="false">IF('주별 매출'!BL15=0,"",K51/'주별 매출'!BL15-1)</f>
        <v>0.0179884468916109</v>
      </c>
      <c r="M51" s="12" t="n">
        <f aca="false">SUM('주별 매출'!BJ15:BM15)</f>
        <v>39419170</v>
      </c>
      <c r="N51" s="12" t="n">
        <f aca="false">SUM('주별 매출'!BF15:BI15)</f>
        <v>39357330</v>
      </c>
      <c r="O51" s="20" t="n">
        <f aca="false">IF(N51=0,"",M51/N51-1)</f>
        <v>0.00157124479734772</v>
      </c>
      <c r="P51" s="12" t="n">
        <f aca="false">'주별 매출'!M15</f>
        <v>0</v>
      </c>
      <c r="Q51" s="20" t="str">
        <f aca="false">IF(P51=0,"",K51/P51-1)</f>
        <v/>
      </c>
      <c r="R51" s="20" t="n">
        <f aca="false">IF($M$8=0,"",M51/$M$8)</f>
        <v>0.00197471255692703</v>
      </c>
      <c r="S51" s="21" t="str">
        <f aca="false">IF(AND(M51=0,N51=0),"-",IF(N51=0,"● 신규 발생",IF(M51=0,"■ 매출 중단",IF(O51&gt;=0.05,"▲ 상승",IF(O51&lt;=-0.05,"▼ 하락","― 보합")))))</f>
        <v>― 보합</v>
      </c>
      <c r="T51" s="21" t="str">
        <f aca="false">IF(AND(F51=0,G51=0),"-",IF(F51=0,"● 신규 발생",IF(G51=0,"■ 매출 중단",IF(H51&gt;=0.05,"▲ 상승",IF(H51&lt;=-0.05,"▼ 하락","― 보합")))))</f>
        <v>● 신규 발생</v>
      </c>
      <c r="U51" s="48"/>
    </row>
    <row r="52" customFormat="false" ht="15" hidden="false" customHeight="false" outlineLevel="0" collapsed="false">
      <c r="A52" s="21" t="n">
        <v>44</v>
      </c>
      <c r="B52" s="19" t="s">
        <v>181</v>
      </c>
      <c r="C52" s="22" t="s">
        <v>262</v>
      </c>
      <c r="D52" s="19" t="s">
        <v>263</v>
      </c>
      <c r="E52" s="46" t="n">
        <f aca="false">'주별 매출'!D86</f>
        <v>9</v>
      </c>
      <c r="F52" s="12" t="n">
        <f aca="false">AVERAGE('월별 매출'!D86:F86)</f>
        <v>40943651.6666667</v>
      </c>
      <c r="G52" s="12" t="n">
        <f aca="false">AVERAGE('월별 매출'!J86:L86)</f>
        <v>42962211.6666667</v>
      </c>
      <c r="H52" s="20" t="n">
        <f aca="false">IF(F52=0,"",G52/F52-1)</f>
        <v>0.0493009274412952</v>
      </c>
      <c r="I52" s="12" t="n">
        <f aca="false">'월별 매출'!L86</f>
        <v>42604130</v>
      </c>
      <c r="J52" s="20" t="n">
        <f aca="false">'월별 매출'!U86</f>
        <v>-0.0201004828642308</v>
      </c>
      <c r="K52" s="12" t="n">
        <f aca="false">'주별 매출'!BM86</f>
        <v>9443330</v>
      </c>
      <c r="L52" s="20" t="n">
        <f aca="false">IF('주별 매출'!BL86=0,"",K52/'주별 매출'!BL86-1)</f>
        <v>-0.118361215597636</v>
      </c>
      <c r="M52" s="12" t="n">
        <f aca="false">SUM('주별 매출'!BJ86:BM86)</f>
        <v>38870690</v>
      </c>
      <c r="N52" s="12" t="n">
        <f aca="false">SUM('주별 매출'!BF86:BI86)</f>
        <v>41034425</v>
      </c>
      <c r="O52" s="20" t="n">
        <f aca="false">IF(N52=0,"",M52/N52-1)</f>
        <v>-0.0527297506910356</v>
      </c>
      <c r="P52" s="12" t="n">
        <f aca="false">'주별 매출'!M86</f>
        <v>9470570</v>
      </c>
      <c r="Q52" s="20" t="n">
        <f aca="false">IF(P52=0,"",K52/P52-1)</f>
        <v>-0.00287627883010211</v>
      </c>
      <c r="R52" s="20" t="n">
        <f aca="false">IF($M$8=0,"",M52/$M$8)</f>
        <v>0.00194723632282004</v>
      </c>
      <c r="S52" s="21" t="str">
        <f aca="false">IF(AND(M52=0,N52=0),"-",IF(N52=0,"● 신규 발생",IF(M52=0,"■ 매출 중단",IF(O52&gt;=0.05,"▲ 상승",IF(O52&lt;=-0.05,"▼ 하락","― 보합")))))</f>
        <v>▼ 하락</v>
      </c>
      <c r="T52" s="21" t="str">
        <f aca="false">IF(AND(F52=0,G52=0),"-",IF(F52=0,"● 신규 발생",IF(G52=0,"■ 매출 중단",IF(H52&gt;=0.05,"▲ 상승",IF(H52&lt;=-0.05,"▼ 하락","― 보합")))))</f>
        <v>― 보합</v>
      </c>
      <c r="U52" s="48"/>
    </row>
    <row r="53" customFormat="false" ht="15" hidden="false" customHeight="false" outlineLevel="0" collapsed="false">
      <c r="A53" s="21" t="n">
        <v>45</v>
      </c>
      <c r="B53" s="19" t="s">
        <v>181</v>
      </c>
      <c r="C53" s="22" t="s">
        <v>264</v>
      </c>
      <c r="D53" s="19" t="s">
        <v>265</v>
      </c>
      <c r="E53" s="46" t="n">
        <f aca="false">'주별 매출'!D57</f>
        <v>3</v>
      </c>
      <c r="F53" s="12" t="n">
        <f aca="false">AVERAGE('월별 매출'!D57:F57)</f>
        <v>39310256.6666667</v>
      </c>
      <c r="G53" s="12" t="n">
        <f aca="false">AVERAGE('월별 매출'!J57:L57)</f>
        <v>47452440</v>
      </c>
      <c r="H53" s="20" t="n">
        <f aca="false">IF(F53=0,"",G53/F53-1)</f>
        <v>0.207126180894096</v>
      </c>
      <c r="I53" s="12" t="n">
        <f aca="false">'월별 매출'!L57</f>
        <v>44913750</v>
      </c>
      <c r="J53" s="20" t="n">
        <f aca="false">'월별 매출'!U57</f>
        <v>-0.0243484143021057</v>
      </c>
      <c r="K53" s="12" t="n">
        <f aca="false">'주별 매출'!BM57</f>
        <v>10634750</v>
      </c>
      <c r="L53" s="20" t="n">
        <f aca="false">IF('주별 매출'!BL57=0,"",K53/'주별 매출'!BL57-1)</f>
        <v>0.0997047737719157</v>
      </c>
      <c r="M53" s="12" t="n">
        <f aca="false">SUM('주별 매출'!BJ57:BM57)</f>
        <v>38296550</v>
      </c>
      <c r="N53" s="12" t="n">
        <f aca="false">SUM('주별 매출'!BF57:BI57)</f>
        <v>44479760</v>
      </c>
      <c r="O53" s="20" t="n">
        <f aca="false">IF(N53=0,"",M53/N53-1)</f>
        <v>-0.139011766250537</v>
      </c>
      <c r="P53" s="12" t="n">
        <f aca="false">'주별 매출'!M57</f>
        <v>0</v>
      </c>
      <c r="Q53" s="20" t="str">
        <f aca="false">IF(P53=0,"",K53/P53-1)</f>
        <v/>
      </c>
      <c r="R53" s="20" t="n">
        <f aca="false">IF($M$8=0,"",M53/$M$8)</f>
        <v>0.001918474645001</v>
      </c>
      <c r="S53" s="21" t="str">
        <f aca="false">IF(AND(M53=0,N53=0),"-",IF(N53=0,"● 신규 발생",IF(M53=0,"■ 매출 중단",IF(O53&gt;=0.05,"▲ 상승",IF(O53&lt;=-0.05,"▼ 하락","― 보합")))))</f>
        <v>▼ 하락</v>
      </c>
      <c r="T53" s="21" t="str">
        <f aca="false">IF(AND(F53=0,G53=0),"-",IF(F53=0,"● 신규 발생",IF(G53=0,"■ 매출 중단",IF(H53&gt;=0.05,"▲ 상승",IF(H53&lt;=-0.05,"▼ 하락","― 보합")))))</f>
        <v>▲ 상승</v>
      </c>
      <c r="U53" s="48"/>
    </row>
    <row r="54" customFormat="false" ht="15" hidden="false" customHeight="false" outlineLevel="0" collapsed="false">
      <c r="A54" s="21" t="n">
        <v>46</v>
      </c>
      <c r="B54" s="19" t="s">
        <v>181</v>
      </c>
      <c r="C54" s="22" t="s">
        <v>266</v>
      </c>
      <c r="D54" s="19" t="s">
        <v>267</v>
      </c>
      <c r="E54" s="46" t="n">
        <f aca="false">'주별 매출'!D74</f>
        <v>7</v>
      </c>
      <c r="F54" s="12" t="n">
        <f aca="false">AVERAGE('월별 매출'!D74:F74)</f>
        <v>31309844.6666667</v>
      </c>
      <c r="G54" s="12" t="n">
        <f aca="false">AVERAGE('월별 매출'!J74:L74)</f>
        <v>35612550.6666667</v>
      </c>
      <c r="H54" s="20" t="n">
        <f aca="false">IF(F54=0,"",G54/F54-1)</f>
        <v>0.137423422115561</v>
      </c>
      <c r="I54" s="12" t="n">
        <f aca="false">'월별 매출'!L74</f>
        <v>33857922</v>
      </c>
      <c r="J54" s="20" t="n">
        <f aca="false">'월별 매출'!U74</f>
        <v>-0.0451493557309657</v>
      </c>
      <c r="K54" s="12" t="n">
        <f aca="false">'주별 매출'!BM74</f>
        <v>7433052</v>
      </c>
      <c r="L54" s="20" t="n">
        <f aca="false">IF('주별 매출'!BL74=0,"",K54/'주별 매출'!BL74-1)</f>
        <v>-0.372528435245607</v>
      </c>
      <c r="M54" s="12" t="n">
        <f aca="false">SUM('주별 매출'!BJ74:BM74)</f>
        <v>35741561</v>
      </c>
      <c r="N54" s="12" t="n">
        <f aca="false">SUM('주별 매출'!BF74:BI74)</f>
        <v>32038441</v>
      </c>
      <c r="O54" s="20" t="n">
        <f aca="false">IF(N54=0,"",M54/N54-1)</f>
        <v>0.115583651526615</v>
      </c>
      <c r="P54" s="12" t="n">
        <f aca="false">'주별 매출'!M74</f>
        <v>6484554</v>
      </c>
      <c r="Q54" s="20" t="n">
        <f aca="false">IF(P54=0,"",K54/P54-1)</f>
        <v>0.146270352594797</v>
      </c>
      <c r="R54" s="20" t="n">
        <f aca="false">IF($M$8=0,"",M54/$M$8)</f>
        <v>0.00179048187242079</v>
      </c>
      <c r="S54" s="21" t="str">
        <f aca="false">IF(AND(M54=0,N54=0),"-",IF(N54=0,"● 신규 발생",IF(M54=0,"■ 매출 중단",IF(O54&gt;=0.05,"▲ 상승",IF(O54&lt;=-0.05,"▼ 하락","― 보합")))))</f>
        <v>▲ 상승</v>
      </c>
      <c r="T54" s="21" t="str">
        <f aca="false">IF(AND(F54=0,G54=0),"-",IF(F54=0,"● 신규 발생",IF(G54=0,"■ 매출 중단",IF(H54&gt;=0.05,"▲ 상승",IF(H54&lt;=-0.05,"▼ 하락","― 보합")))))</f>
        <v>▲ 상승</v>
      </c>
      <c r="U54" s="48"/>
    </row>
    <row r="55" customFormat="false" ht="15" hidden="false" customHeight="false" outlineLevel="0" collapsed="false">
      <c r="A55" s="21" t="n">
        <v>47</v>
      </c>
      <c r="B55" s="19" t="s">
        <v>181</v>
      </c>
      <c r="C55" s="22" t="s">
        <v>268</v>
      </c>
      <c r="D55" s="19" t="s">
        <v>269</v>
      </c>
      <c r="E55" s="46" t="n">
        <f aca="false">'주별 매출'!D30</f>
        <v>17</v>
      </c>
      <c r="F55" s="12" t="n">
        <f aca="false">AVERAGE('월별 매출'!D30:F30)</f>
        <v>42521608</v>
      </c>
      <c r="G55" s="12" t="n">
        <f aca="false">AVERAGE('월별 매출'!J30:L30)</f>
        <v>38781212.6666667</v>
      </c>
      <c r="H55" s="20" t="n">
        <f aca="false">IF(F55=0,"",G55/F55-1)</f>
        <v>-0.0879645786992189</v>
      </c>
      <c r="I55" s="12" t="n">
        <f aca="false">'월별 매출'!L30</f>
        <v>37227478</v>
      </c>
      <c r="J55" s="20" t="n">
        <f aca="false">'월별 매출'!U30</f>
        <v>0.0364390497334295</v>
      </c>
      <c r="K55" s="12" t="n">
        <f aca="false">'주별 매출'!BM30</f>
        <v>8920442</v>
      </c>
      <c r="L55" s="20" t="n">
        <f aca="false">IF('주별 매출'!BL30=0,"",K55/'주별 매출'!BL30-1)</f>
        <v>0.219879828645462</v>
      </c>
      <c r="M55" s="12" t="n">
        <f aca="false">SUM('주별 매출'!BJ30:BM30)</f>
        <v>33911272</v>
      </c>
      <c r="N55" s="12" t="n">
        <f aca="false">SUM('주별 매출'!BF30:BI30)</f>
        <v>32615764</v>
      </c>
      <c r="O55" s="20" t="n">
        <f aca="false">IF(N55=0,"",M55/N55-1)</f>
        <v>0.0397203021213914</v>
      </c>
      <c r="P55" s="12" t="n">
        <f aca="false">'주별 매출'!M30</f>
        <v>4061582</v>
      </c>
      <c r="Q55" s="20" t="n">
        <f aca="false">IF(P55=0,"",K55/P55-1)</f>
        <v>1.19629740332708</v>
      </c>
      <c r="R55" s="20" t="n">
        <f aca="false">IF($M$8=0,"",M55/$M$8)</f>
        <v>0.00169879311613533</v>
      </c>
      <c r="S55" s="21" t="str">
        <f aca="false">IF(AND(M55=0,N55=0),"-",IF(N55=0,"● 신규 발생",IF(M55=0,"■ 매출 중단",IF(O55&gt;=0.05,"▲ 상승",IF(O55&lt;=-0.05,"▼ 하락","― 보합")))))</f>
        <v>― 보합</v>
      </c>
      <c r="T55" s="21" t="str">
        <f aca="false">IF(AND(F55=0,G55=0),"-",IF(F55=0,"● 신규 발생",IF(G55=0,"■ 매출 중단",IF(H55&gt;=0.05,"▲ 상승",IF(H55&lt;=-0.05,"▼ 하락","― 보합")))))</f>
        <v>▼ 하락</v>
      </c>
      <c r="U55" s="48"/>
    </row>
    <row r="56" customFormat="false" ht="15" hidden="false" customHeight="false" outlineLevel="0" collapsed="false">
      <c r="A56" s="21" t="n">
        <v>48</v>
      </c>
      <c r="B56" s="19" t="s">
        <v>181</v>
      </c>
      <c r="C56" s="22" t="s">
        <v>270</v>
      </c>
      <c r="D56" s="19" t="s">
        <v>271</v>
      </c>
      <c r="E56" s="46" t="n">
        <f aca="false">'주별 매출'!D64</f>
        <v>7</v>
      </c>
      <c r="F56" s="12" t="n">
        <f aca="false">AVERAGE('월별 매출'!D64:F64)</f>
        <v>38193870</v>
      </c>
      <c r="G56" s="12" t="n">
        <f aca="false">AVERAGE('월별 매출'!J64:L64)</f>
        <v>35009146.6666667</v>
      </c>
      <c r="H56" s="20" t="n">
        <f aca="false">IF(F56=0,"",G56/F56-1)</f>
        <v>-0.0833831013545717</v>
      </c>
      <c r="I56" s="12" t="n">
        <f aca="false">'월별 매출'!L64</f>
        <v>37280990</v>
      </c>
      <c r="J56" s="20" t="n">
        <f aca="false">'월별 매출'!U64</f>
        <v>0.199485792036952</v>
      </c>
      <c r="K56" s="12" t="n">
        <f aca="false">'주별 매출'!BM64</f>
        <v>7172110</v>
      </c>
      <c r="L56" s="20" t="n">
        <f aca="false">IF('주별 매출'!BL64=0,"",K56/'주별 매출'!BL64-1)</f>
        <v>-0.0521620075038226</v>
      </c>
      <c r="M56" s="12" t="n">
        <f aca="false">SUM('주별 매출'!BJ64:BM64)</f>
        <v>33335610</v>
      </c>
      <c r="N56" s="12" t="n">
        <f aca="false">SUM('주별 매출'!BF64:BI64)</f>
        <v>32500790</v>
      </c>
      <c r="O56" s="20" t="n">
        <f aca="false">IF(N56=0,"",M56/N56-1)</f>
        <v>0.0256861448598633</v>
      </c>
      <c r="P56" s="12" t="n">
        <f aca="false">'주별 매출'!M64</f>
        <v>4715510</v>
      </c>
      <c r="Q56" s="20" t="n">
        <f aca="false">IF(P56=0,"",K56/P56-1)</f>
        <v>0.520961677527988</v>
      </c>
      <c r="R56" s="20" t="n">
        <f aca="false">IF($M$8=0,"",M56/$M$8)</f>
        <v>0.00166995519336968</v>
      </c>
      <c r="S56" s="21" t="str">
        <f aca="false">IF(AND(M56=0,N56=0),"-",IF(N56=0,"● 신규 발생",IF(M56=0,"■ 매출 중단",IF(O56&gt;=0.05,"▲ 상승",IF(O56&lt;=-0.05,"▼ 하락","― 보합")))))</f>
        <v>― 보합</v>
      </c>
      <c r="T56" s="21" t="str">
        <f aca="false">IF(AND(F56=0,G56=0),"-",IF(F56=0,"● 신규 발생",IF(G56=0,"■ 매출 중단",IF(H56&gt;=0.05,"▲ 상승",IF(H56&lt;=-0.05,"▼ 하락","― 보합")))))</f>
        <v>▼ 하락</v>
      </c>
      <c r="U56" s="48"/>
    </row>
    <row r="57" customFormat="false" ht="15" hidden="false" customHeight="false" outlineLevel="0" collapsed="false">
      <c r="A57" s="21" t="n">
        <v>49</v>
      </c>
      <c r="B57" s="19" t="s">
        <v>181</v>
      </c>
      <c r="C57" s="22" t="s">
        <v>272</v>
      </c>
      <c r="D57" s="19" t="s">
        <v>273</v>
      </c>
      <c r="E57" s="46" t="n">
        <f aca="false">'주별 매출'!D72</f>
        <v>19</v>
      </c>
      <c r="F57" s="12" t="n">
        <f aca="false">AVERAGE('월별 매출'!D72:F72)</f>
        <v>35176424.6666667</v>
      </c>
      <c r="G57" s="12" t="n">
        <f aca="false">AVERAGE('월별 매출'!J72:L72)</f>
        <v>41634330.6666667</v>
      </c>
      <c r="H57" s="20" t="n">
        <f aca="false">IF(F57=0,"",G57/F57-1)</f>
        <v>0.183586196186662</v>
      </c>
      <c r="I57" s="12" t="n">
        <f aca="false">'월별 매출'!L72</f>
        <v>36516612</v>
      </c>
      <c r="J57" s="20" t="n">
        <f aca="false">'월별 매출'!U72</f>
        <v>-0.0858916514889409</v>
      </c>
      <c r="K57" s="12" t="n">
        <f aca="false">'주별 매출'!BM72</f>
        <v>7670232</v>
      </c>
      <c r="L57" s="20" t="n">
        <f aca="false">IF('주별 매출'!BL72=0,"",K57/'주별 매출'!BL72-1)</f>
        <v>-0.187679192338193</v>
      </c>
      <c r="M57" s="12" t="n">
        <f aca="false">SUM('주별 매출'!BJ72:BM72)</f>
        <v>31416838</v>
      </c>
      <c r="N57" s="12" t="n">
        <f aca="false">SUM('주별 매출'!BF72:BI72)</f>
        <v>38468606</v>
      </c>
      <c r="O57" s="20" t="n">
        <f aca="false">IF(N57=0,"",M57/N57-1)</f>
        <v>-0.183312283268076</v>
      </c>
      <c r="P57" s="12" t="n">
        <f aca="false">'주별 매출'!M72</f>
        <v>7877766</v>
      </c>
      <c r="Q57" s="20" t="n">
        <f aca="false">IF(P57=0,"",K57/P57-1)</f>
        <v>-0.0263442706980633</v>
      </c>
      <c r="R57" s="20" t="n">
        <f aca="false">IF($M$8=0,"",M57/$M$8)</f>
        <v>0.00157383386046795</v>
      </c>
      <c r="S57" s="21" t="str">
        <f aca="false">IF(AND(M57=0,N57=0),"-",IF(N57=0,"● 신규 발생",IF(M57=0,"■ 매출 중단",IF(O57&gt;=0.05,"▲ 상승",IF(O57&lt;=-0.05,"▼ 하락","― 보합")))))</f>
        <v>▼ 하락</v>
      </c>
      <c r="T57" s="21" t="str">
        <f aca="false">IF(AND(F57=0,G57=0),"-",IF(F57=0,"● 신규 발생",IF(G57=0,"■ 매출 중단",IF(H57&gt;=0.05,"▲ 상승",IF(H57&lt;=-0.05,"▼ 하락","― 보합")))))</f>
        <v>▲ 상승</v>
      </c>
      <c r="U57" s="48"/>
    </row>
    <row r="58" customFormat="false" ht="15" hidden="false" customHeight="false" outlineLevel="0" collapsed="false">
      <c r="A58" s="21" t="n">
        <v>50</v>
      </c>
      <c r="B58" s="19" t="s">
        <v>181</v>
      </c>
      <c r="C58" s="22" t="s">
        <v>274</v>
      </c>
      <c r="D58" s="19" t="s">
        <v>275</v>
      </c>
      <c r="E58" s="46" t="n">
        <f aca="false">'주별 매출'!D75</f>
        <v>26</v>
      </c>
      <c r="F58" s="12" t="n">
        <f aca="false">AVERAGE('월별 매출'!D75:F75)</f>
        <v>42732955</v>
      </c>
      <c r="G58" s="12" t="n">
        <f aca="false">AVERAGE('월별 매출'!J75:L75)</f>
        <v>33873149.3333333</v>
      </c>
      <c r="H58" s="20" t="n">
        <f aca="false">IF(F58=0,"",G58/F58-1)</f>
        <v>-0.207329581272034</v>
      </c>
      <c r="I58" s="12" t="n">
        <f aca="false">'월별 매출'!L75</f>
        <v>33532611</v>
      </c>
      <c r="J58" s="20" t="n">
        <f aca="false">'월별 매출'!U75</f>
        <v>0.0366056525572118</v>
      </c>
      <c r="K58" s="12" t="n">
        <f aca="false">'주별 매출'!BM75</f>
        <v>6526171</v>
      </c>
      <c r="L58" s="20" t="n">
        <f aca="false">IF('주별 매출'!BL75=0,"",K58/'주별 매출'!BL75-1)</f>
        <v>-0.189408406605739</v>
      </c>
      <c r="M58" s="12" t="n">
        <f aca="false">SUM('주별 매출'!BJ75:BM75)</f>
        <v>30727323</v>
      </c>
      <c r="N58" s="12" t="n">
        <f aca="false">SUM('주별 매출'!BF75:BI75)</f>
        <v>29509462</v>
      </c>
      <c r="O58" s="20" t="n">
        <f aca="false">IF(N58=0,"",M58/N58-1)</f>
        <v>0.04127018649137</v>
      </c>
      <c r="P58" s="12" t="n">
        <f aca="false">'주별 매출'!M75</f>
        <v>13546086</v>
      </c>
      <c r="Q58" s="20" t="n">
        <f aca="false">IF(P58=0,"",K58/P58-1)</f>
        <v>-0.518224600080053</v>
      </c>
      <c r="R58" s="20" t="n">
        <f aca="false">IF($M$8=0,"",M58/$M$8)</f>
        <v>0.00153929244499194</v>
      </c>
      <c r="S58" s="21" t="str">
        <f aca="false">IF(AND(M58=0,N58=0),"-",IF(N58=0,"● 신규 발생",IF(M58=0,"■ 매출 중단",IF(O58&gt;=0.05,"▲ 상승",IF(O58&lt;=-0.05,"▼ 하락","― 보합")))))</f>
        <v>― 보합</v>
      </c>
      <c r="T58" s="21" t="str">
        <f aca="false">IF(AND(F58=0,G58=0),"-",IF(F58=0,"● 신규 발생",IF(G58=0,"■ 매출 중단",IF(H58&gt;=0.05,"▲ 상승",IF(H58&lt;=-0.05,"▼ 하락","― 보합")))))</f>
        <v>▼ 하락</v>
      </c>
      <c r="U58" s="48"/>
    </row>
    <row r="59" customFormat="false" ht="15" hidden="false" customHeight="false" outlineLevel="0" collapsed="false">
      <c r="A59" s="21" t="n">
        <v>51</v>
      </c>
      <c r="B59" s="19" t="s">
        <v>183</v>
      </c>
      <c r="C59" s="22" t="s">
        <v>276</v>
      </c>
      <c r="D59" s="19" t="s">
        <v>277</v>
      </c>
      <c r="E59" s="46" t="n">
        <f aca="false">'주별 매출'!D13</f>
        <v>8</v>
      </c>
      <c r="F59" s="12" t="n">
        <f aca="false">AVERAGE('월별 매출'!D13:F13)</f>
        <v>1905010</v>
      </c>
      <c r="G59" s="12" t="n">
        <f aca="false">AVERAGE('월별 매출'!J13:L13)</f>
        <v>36286213</v>
      </c>
      <c r="H59" s="20" t="n">
        <f aca="false">IF(F59=0,"",G59/F59-1)</f>
        <v>18.0477808515441</v>
      </c>
      <c r="I59" s="12" t="n">
        <f aca="false">'월별 매출'!L13</f>
        <v>31556800</v>
      </c>
      <c r="J59" s="20" t="n">
        <f aca="false">'월별 매출'!U13</f>
        <v>-0.225336709531951</v>
      </c>
      <c r="K59" s="12" t="n">
        <f aca="false">'주별 매출'!BM13</f>
        <v>6679240</v>
      </c>
      <c r="L59" s="20" t="n">
        <f aca="false">IF('주별 매출'!BL13=0,"",K59/'주별 매출'!BL13-1)</f>
        <v>-0.189330964162652</v>
      </c>
      <c r="M59" s="12" t="n">
        <f aca="false">SUM('주별 매출'!BJ13:BM13)</f>
        <v>29553340</v>
      </c>
      <c r="N59" s="12" t="n">
        <f aca="false">SUM('주별 매출'!BF13:BI13)</f>
        <v>32826200</v>
      </c>
      <c r="O59" s="20" t="n">
        <f aca="false">IF(N59=0,"",M59/N59-1)</f>
        <v>-0.0997026765205842</v>
      </c>
      <c r="P59" s="12" t="n">
        <f aca="false">'주별 매출'!M13</f>
        <v>0</v>
      </c>
      <c r="Q59" s="20" t="str">
        <f aca="false">IF(P59=0,"",K59/P59-1)</f>
        <v/>
      </c>
      <c r="R59" s="20" t="n">
        <f aca="false">IF($M$8=0,"",M59/$M$8)</f>
        <v>0.00148048149154673</v>
      </c>
      <c r="S59" s="21" t="str">
        <f aca="false">IF(AND(M59=0,N59=0),"-",IF(N59=0,"● 신규 발생",IF(M59=0,"■ 매출 중단",IF(O59&gt;=0.05,"▲ 상승",IF(O59&lt;=-0.05,"▼ 하락","― 보합")))))</f>
        <v>▼ 하락</v>
      </c>
      <c r="T59" s="21" t="str">
        <f aca="false">IF(AND(F59=0,G59=0),"-",IF(F59=0,"● 신규 발생",IF(G59=0,"■ 매출 중단",IF(H59&gt;=0.05,"▲ 상승",IF(H59&lt;=-0.05,"▼ 하락","― 보합")))))</f>
        <v>▲ 상승</v>
      </c>
      <c r="U59" s="48"/>
    </row>
    <row r="60" customFormat="false" ht="15" hidden="false" customHeight="false" outlineLevel="0" collapsed="false">
      <c r="A60" s="21" t="n">
        <v>52</v>
      </c>
      <c r="B60" s="19" t="s">
        <v>181</v>
      </c>
      <c r="C60" s="22" t="s">
        <v>278</v>
      </c>
      <c r="D60" s="19" t="s">
        <v>279</v>
      </c>
      <c r="E60" s="46" t="n">
        <f aca="false">'주별 매출'!D42</f>
        <v>6</v>
      </c>
      <c r="F60" s="12" t="n">
        <f aca="false">AVERAGE('월별 매출'!D42:F42)</f>
        <v>363639556</v>
      </c>
      <c r="G60" s="12" t="n">
        <f aca="false">AVERAGE('월별 매출'!J42:L42)</f>
        <v>70133615.3333333</v>
      </c>
      <c r="H60" s="20" t="n">
        <f aca="false">IF(F60=0,"",G60/F60-1)</f>
        <v>-0.807134251001744</v>
      </c>
      <c r="I60" s="12" t="n">
        <f aca="false">'월별 매출'!L42</f>
        <v>41324209</v>
      </c>
      <c r="J60" s="20" t="n">
        <f aca="false">'월별 매출'!U42</f>
        <v>-0.446835592723561</v>
      </c>
      <c r="K60" s="12" t="n">
        <f aca="false">'주별 매출'!BM42</f>
        <v>5619343</v>
      </c>
      <c r="L60" s="20" t="n">
        <f aca="false">IF('주별 매출'!BL42=0,"",K60/'주별 매출'!BL42-1)</f>
        <v>0.165158315216321</v>
      </c>
      <c r="M60" s="12" t="n">
        <f aca="false">SUM('주별 매출'!BJ42:BM42)</f>
        <v>26426105</v>
      </c>
      <c r="N60" s="12" t="n">
        <f aca="false">SUM('주별 매출'!BF42:BI42)</f>
        <v>45069772</v>
      </c>
      <c r="O60" s="20" t="n">
        <f aca="false">IF(N60=0,"",M60/N60-1)</f>
        <v>-0.413662332261188</v>
      </c>
      <c r="P60" s="12" t="n">
        <f aca="false">'주별 매출'!M42</f>
        <v>83825425</v>
      </c>
      <c r="Q60" s="20" t="n">
        <f aca="false">IF(P60=0,"",K60/P60-1)</f>
        <v>-0.932963739819989</v>
      </c>
      <c r="R60" s="20" t="n">
        <f aca="false">IF($M$8=0,"",M60/$M$8)</f>
        <v>0.00132382192152124</v>
      </c>
      <c r="S60" s="21" t="str">
        <f aca="false">IF(AND(M60=0,N60=0),"-",IF(N60=0,"● 신규 발생",IF(M60=0,"■ 매출 중단",IF(O60&gt;=0.05,"▲ 상승",IF(O60&lt;=-0.05,"▼ 하락","― 보합")))))</f>
        <v>▼ 하락</v>
      </c>
      <c r="T60" s="21" t="str">
        <f aca="false">IF(AND(F60=0,G60=0),"-",IF(F60=0,"● 신규 발생",IF(G60=0,"■ 매출 중단",IF(H60&gt;=0.05,"▲ 상승",IF(H60&lt;=-0.05,"▼ 하락","― 보합")))))</f>
        <v>▼ 하락</v>
      </c>
      <c r="U60" s="48"/>
    </row>
    <row r="61" customFormat="false" ht="15" hidden="false" customHeight="false" outlineLevel="0" collapsed="false">
      <c r="A61" s="21" t="n">
        <v>53</v>
      </c>
      <c r="B61" s="19" t="s">
        <v>181</v>
      </c>
      <c r="C61" s="22" t="s">
        <v>280</v>
      </c>
      <c r="D61" s="19" t="s">
        <v>281</v>
      </c>
      <c r="E61" s="46" t="n">
        <f aca="false">'주별 매출'!D110</f>
        <v>5</v>
      </c>
      <c r="F61" s="12" t="n">
        <f aca="false">AVERAGE('월별 매출'!D110:F110)</f>
        <v>26759469.6666667</v>
      </c>
      <c r="G61" s="12" t="n">
        <f aca="false">AVERAGE('월별 매출'!J110:L110)</f>
        <v>28950166.3333333</v>
      </c>
      <c r="H61" s="20" t="n">
        <f aca="false">IF(F61=0,"",G61/F61-1)</f>
        <v>0.0818662213397876</v>
      </c>
      <c r="I61" s="12" t="n">
        <f aca="false">'월별 매출'!L110</f>
        <v>27628053</v>
      </c>
      <c r="J61" s="20" t="n">
        <f aca="false">'월별 매출'!U110</f>
        <v>-0.0474456193787832</v>
      </c>
      <c r="K61" s="12" t="n">
        <f aca="false">'주별 매출'!BM110</f>
        <v>5286510</v>
      </c>
      <c r="L61" s="20" t="n">
        <f aca="false">IF('주별 매출'!BL110=0,"",K61/'주별 매출'!BL110-1)</f>
        <v>-0.165396832413453</v>
      </c>
      <c r="M61" s="12" t="n">
        <f aca="false">SUM('주별 매출'!BJ110:BM110)</f>
        <v>25108783</v>
      </c>
      <c r="N61" s="12" t="n">
        <f aca="false">SUM('주별 매출'!BF110:BI110)</f>
        <v>25313277</v>
      </c>
      <c r="O61" s="20" t="n">
        <f aca="false">IF(N61=0,"",M61/N61-1)</f>
        <v>-0.00807852732777348</v>
      </c>
      <c r="P61" s="12" t="n">
        <f aca="false">'주별 매출'!M110</f>
        <v>0</v>
      </c>
      <c r="Q61" s="20" t="str">
        <f aca="false">IF(P61=0,"",K61/P61-1)</f>
        <v/>
      </c>
      <c r="R61" s="20" t="n">
        <f aca="false">IF($M$8=0,"",M61/$M$8)</f>
        <v>0.00125783036728719</v>
      </c>
      <c r="S61" s="21" t="str">
        <f aca="false">IF(AND(M61=0,N61=0),"-",IF(N61=0,"● 신규 발생",IF(M61=0,"■ 매출 중단",IF(O61&gt;=0.05,"▲ 상승",IF(O61&lt;=-0.05,"▼ 하락","― 보합")))))</f>
        <v>― 보합</v>
      </c>
      <c r="T61" s="21" t="str">
        <f aca="false">IF(AND(F61=0,G61=0),"-",IF(F61=0,"● 신규 발생",IF(G61=0,"■ 매출 중단",IF(H61&gt;=0.05,"▲ 상승",IF(H61&lt;=-0.05,"▼ 하락","― 보합")))))</f>
        <v>▲ 상승</v>
      </c>
      <c r="U61" s="48"/>
    </row>
    <row r="62" customFormat="false" ht="15" hidden="false" customHeight="false" outlineLevel="0" collapsed="false">
      <c r="A62" s="21" t="n">
        <v>54</v>
      </c>
      <c r="B62" s="19" t="s">
        <v>181</v>
      </c>
      <c r="C62" s="22" t="s">
        <v>282</v>
      </c>
      <c r="D62" s="19" t="s">
        <v>283</v>
      </c>
      <c r="E62" s="46" t="n">
        <f aca="false">'주별 매출'!D63</f>
        <v>10</v>
      </c>
      <c r="F62" s="12" t="n">
        <f aca="false">AVERAGE('월별 매출'!D63:F63)</f>
        <v>34691977.3333333</v>
      </c>
      <c r="G62" s="12" t="n">
        <f aca="false">AVERAGE('월별 매출'!J63:L63)</f>
        <v>34665442</v>
      </c>
      <c r="H62" s="20" t="n">
        <f aca="false">IF(F62=0,"",G62/F62-1)</f>
        <v>-0.00076488385422302</v>
      </c>
      <c r="I62" s="12" t="n">
        <f aca="false">'월별 매출'!L63</f>
        <v>32143738</v>
      </c>
      <c r="J62" s="20" t="n">
        <f aca="false">'월별 매출'!U63</f>
        <v>-0.0390993264433148</v>
      </c>
      <c r="K62" s="12" t="n">
        <f aca="false">'주별 매출'!BM63</f>
        <v>8512410</v>
      </c>
      <c r="L62" s="20" t="n">
        <f aca="false">IF('주별 매출'!BL63=0,"",K62/'주별 매출'!BL63-1)</f>
        <v>0.600193773530852</v>
      </c>
      <c r="M62" s="12" t="n">
        <f aca="false">SUM('주별 매출'!BJ63:BM63)</f>
        <v>24871940</v>
      </c>
      <c r="N62" s="12" t="n">
        <f aca="false">SUM('주별 매출'!BF63:BI63)</f>
        <v>33132436</v>
      </c>
      <c r="O62" s="20" t="n">
        <f aca="false">IF(N62=0,"",M62/N62-1)</f>
        <v>-0.249317496606649</v>
      </c>
      <c r="P62" s="12" t="n">
        <f aca="false">'주별 매출'!M63</f>
        <v>12711680</v>
      </c>
      <c r="Q62" s="20" t="n">
        <f aca="false">IF(P62=0,"",K62/P62-1)</f>
        <v>-0.33034736557245</v>
      </c>
      <c r="R62" s="20" t="n">
        <f aca="false">IF($M$8=0,"",M62/$M$8)</f>
        <v>0.00124596566171068</v>
      </c>
      <c r="S62" s="21" t="str">
        <f aca="false">IF(AND(M62=0,N62=0),"-",IF(N62=0,"● 신규 발생",IF(M62=0,"■ 매출 중단",IF(O62&gt;=0.05,"▲ 상승",IF(O62&lt;=-0.05,"▼ 하락","― 보합")))))</f>
        <v>▼ 하락</v>
      </c>
      <c r="T62" s="21" t="str">
        <f aca="false">IF(AND(F62=0,G62=0),"-",IF(F62=0,"● 신규 발생",IF(G62=0,"■ 매출 중단",IF(H62&gt;=0.05,"▲ 상승",IF(H62&lt;=-0.05,"▼ 하락","― 보합")))))</f>
        <v>― 보합</v>
      </c>
      <c r="U62" s="48"/>
    </row>
    <row r="63" customFormat="false" ht="15" hidden="false" customHeight="false" outlineLevel="0" collapsed="false">
      <c r="A63" s="21" t="n">
        <v>55</v>
      </c>
      <c r="B63" s="19" t="s">
        <v>181</v>
      </c>
      <c r="C63" s="22" t="s">
        <v>284</v>
      </c>
      <c r="D63" s="19" t="s">
        <v>285</v>
      </c>
      <c r="E63" s="46" t="n">
        <f aca="false">'주별 매출'!D101</f>
        <v>7</v>
      </c>
      <c r="F63" s="12" t="n">
        <f aca="false">AVERAGE('월별 매출'!D101:F101)</f>
        <v>34969420</v>
      </c>
      <c r="G63" s="12" t="n">
        <f aca="false">AVERAGE('월별 매출'!J101:L101)</f>
        <v>32469980</v>
      </c>
      <c r="H63" s="20" t="n">
        <f aca="false">IF(F63=0,"",G63/F63-1)</f>
        <v>-0.0714750201747698</v>
      </c>
      <c r="I63" s="12" t="n">
        <f aca="false">'월별 매출'!L101</f>
        <v>27259580</v>
      </c>
      <c r="J63" s="20" t="n">
        <f aca="false">'월별 매출'!U101</f>
        <v>-0.169346525264474</v>
      </c>
      <c r="K63" s="12" t="n">
        <f aca="false">'주별 매출'!BM101</f>
        <v>4487880</v>
      </c>
      <c r="L63" s="20" t="n">
        <f aca="false">IF('주별 매출'!BL101=0,"",K63/'주별 매출'!BL101-1)</f>
        <v>-0.297644981971154</v>
      </c>
      <c r="M63" s="12" t="n">
        <f aca="false">SUM('주별 매출'!BJ101:BM101)</f>
        <v>22605060</v>
      </c>
      <c r="N63" s="12" t="n">
        <f aca="false">SUM('주별 매출'!BF101:BI101)</f>
        <v>25690820</v>
      </c>
      <c r="O63" s="20" t="n">
        <f aca="false">IF(N63=0,"",M63/N63-1)</f>
        <v>-0.12011138609044</v>
      </c>
      <c r="P63" s="12" t="n">
        <f aca="false">'주별 매출'!M101</f>
        <v>11271110</v>
      </c>
      <c r="Q63" s="20" t="n">
        <f aca="false">IF(P63=0,"",K63/P63-1)</f>
        <v>-0.601824487561562</v>
      </c>
      <c r="R63" s="20" t="n">
        <f aca="false">IF($M$8=0,"",M63/$M$8)</f>
        <v>0.00113240577698843</v>
      </c>
      <c r="S63" s="21" t="str">
        <f aca="false">IF(AND(M63=0,N63=0),"-",IF(N63=0,"● 신규 발생",IF(M63=0,"■ 매출 중단",IF(O63&gt;=0.05,"▲ 상승",IF(O63&lt;=-0.05,"▼ 하락","― 보합")))))</f>
        <v>▼ 하락</v>
      </c>
      <c r="T63" s="21" t="str">
        <f aca="false">IF(AND(F63=0,G63=0),"-",IF(F63=0,"● 신규 발생",IF(G63=0,"■ 매출 중단",IF(H63&gt;=0.05,"▲ 상승",IF(H63&lt;=-0.05,"▼ 하락","― 보합")))))</f>
        <v>▼ 하락</v>
      </c>
      <c r="U63" s="48"/>
    </row>
    <row r="64" customFormat="false" ht="15" hidden="false" customHeight="false" outlineLevel="0" collapsed="false">
      <c r="A64" s="21" t="n">
        <v>56</v>
      </c>
      <c r="B64" s="19" t="s">
        <v>181</v>
      </c>
      <c r="C64" s="22" t="s">
        <v>286</v>
      </c>
      <c r="D64" s="19" t="s">
        <v>287</v>
      </c>
      <c r="E64" s="46" t="n">
        <f aca="false">'주별 매출'!D107</f>
        <v>7</v>
      </c>
      <c r="F64" s="12" t="n">
        <f aca="false">AVERAGE('월별 매출'!D107:F107)</f>
        <v>17698313.3333333</v>
      </c>
      <c r="G64" s="12" t="n">
        <f aca="false">AVERAGE('월별 매출'!J107:L107)</f>
        <v>23471813.3333333</v>
      </c>
      <c r="H64" s="20" t="n">
        <f aca="false">IF(F64=0,"",G64/F64-1)</f>
        <v>0.326217526566562</v>
      </c>
      <c r="I64" s="12" t="n">
        <f aca="false">'월별 매출'!L107</f>
        <v>20104560</v>
      </c>
      <c r="J64" s="20" t="n">
        <f aca="false">'월별 매출'!U107</f>
        <v>-0.207322208396221</v>
      </c>
      <c r="K64" s="12" t="n">
        <f aca="false">'주별 매출'!BM107</f>
        <v>5715120</v>
      </c>
      <c r="L64" s="20" t="n">
        <f aca="false">IF('주별 매출'!BL107=0,"",K64/'주별 매출'!BL107-1)</f>
        <v>-0.0221588021825163</v>
      </c>
      <c r="M64" s="12" t="n">
        <f aca="false">SUM('주별 매출'!BJ107:BM107)</f>
        <v>21222800</v>
      </c>
      <c r="N64" s="12" t="n">
        <f aca="false">SUM('주별 매출'!BF107:BI107)</f>
        <v>18808180</v>
      </c>
      <c r="O64" s="20" t="n">
        <f aca="false">IF(N64=0,"",M64/N64-1)</f>
        <v>0.128381374487058</v>
      </c>
      <c r="P64" s="12" t="n">
        <f aca="false">'주별 매출'!M107</f>
        <v>4473400</v>
      </c>
      <c r="Q64" s="20" t="n">
        <f aca="false">IF(P64=0,"",K64/P64-1)</f>
        <v>0.277578575580096</v>
      </c>
      <c r="R64" s="20" t="n">
        <f aca="false">IF($M$8=0,"",M64/$M$8)</f>
        <v>0.00106316113842963</v>
      </c>
      <c r="S64" s="21" t="str">
        <f aca="false">IF(AND(M64=0,N64=0),"-",IF(N64=0,"● 신규 발생",IF(M64=0,"■ 매출 중단",IF(O64&gt;=0.05,"▲ 상승",IF(O64&lt;=-0.05,"▼ 하락","― 보합")))))</f>
        <v>▲ 상승</v>
      </c>
      <c r="T64" s="21" t="str">
        <f aca="false">IF(AND(F64=0,G64=0),"-",IF(F64=0,"● 신규 발생",IF(G64=0,"■ 매출 중단",IF(H64&gt;=0.05,"▲ 상승",IF(H64&lt;=-0.05,"▼ 하락","― 보합")))))</f>
        <v>▲ 상승</v>
      </c>
      <c r="U64" s="48"/>
    </row>
    <row r="65" customFormat="false" ht="15" hidden="false" customHeight="false" outlineLevel="0" collapsed="false">
      <c r="A65" s="21" t="n">
        <v>57</v>
      </c>
      <c r="B65" s="19" t="s">
        <v>183</v>
      </c>
      <c r="C65" s="22" t="s">
        <v>288</v>
      </c>
      <c r="D65" s="19" t="s">
        <v>289</v>
      </c>
      <c r="E65" s="46" t="n">
        <f aca="false">'주별 매출'!D7</f>
        <v>21</v>
      </c>
      <c r="F65" s="12" t="n">
        <f aca="false">AVERAGE('월별 매출'!D7:F7)</f>
        <v>20079876.6666667</v>
      </c>
      <c r="G65" s="12" t="n">
        <f aca="false">AVERAGE('월별 매출'!J7:L7)</f>
        <v>27420586.6666667</v>
      </c>
      <c r="H65" s="20" t="n">
        <f aca="false">IF(F65=0,"",G65/F65-1)</f>
        <v>0.365575452571671</v>
      </c>
      <c r="I65" s="12" t="n">
        <f aca="false">'월별 매출'!L7</f>
        <v>23634020</v>
      </c>
      <c r="J65" s="20" t="n">
        <f aca="false">'월별 매출'!U7</f>
        <v>-0.0807921345058922</v>
      </c>
      <c r="K65" s="12" t="n">
        <f aca="false">'주별 매출'!BM7</f>
        <v>5586320</v>
      </c>
      <c r="L65" s="20" t="n">
        <f aca="false">IF('주별 매출'!BL7=0,"",K65/'주별 매출'!BL7-1)</f>
        <v>0.247436492907928</v>
      </c>
      <c r="M65" s="12" t="n">
        <f aca="false">SUM('주별 매출'!BJ7:BM7)</f>
        <v>20577580</v>
      </c>
      <c r="N65" s="12" t="n">
        <f aca="false">SUM('주별 매출'!BF7:BI7)</f>
        <v>21433360</v>
      </c>
      <c r="O65" s="20" t="n">
        <f aca="false">IF(N65=0,"",M65/N65-1)</f>
        <v>-0.0399274775396858</v>
      </c>
      <c r="P65" s="12" t="n">
        <f aca="false">'주별 매출'!M7</f>
        <v>0</v>
      </c>
      <c r="Q65" s="20" t="str">
        <f aca="false">IF(P65=0,"",K65/P65-1)</f>
        <v/>
      </c>
      <c r="R65" s="20" t="n">
        <f aca="false">IF($M$8=0,"",M65/$M$8)</f>
        <v>0.00103083869135678</v>
      </c>
      <c r="S65" s="21" t="str">
        <f aca="false">IF(AND(M65=0,N65=0),"-",IF(N65=0,"● 신규 발생",IF(M65=0,"■ 매출 중단",IF(O65&gt;=0.05,"▲ 상승",IF(O65&lt;=-0.05,"▼ 하락","― 보합")))))</f>
        <v>― 보합</v>
      </c>
      <c r="T65" s="21" t="str">
        <f aca="false">IF(AND(F65=0,G65=0),"-",IF(F65=0,"● 신규 발생",IF(G65=0,"■ 매출 중단",IF(H65&gt;=0.05,"▲ 상승",IF(H65&lt;=-0.05,"▼ 하락","― 보합")))))</f>
        <v>▲ 상승</v>
      </c>
      <c r="U65" s="48"/>
    </row>
    <row r="66" customFormat="false" ht="15" hidden="false" customHeight="false" outlineLevel="0" collapsed="false">
      <c r="A66" s="21" t="n">
        <v>58</v>
      </c>
      <c r="B66" s="19" t="s">
        <v>181</v>
      </c>
      <c r="C66" s="22" t="s">
        <v>290</v>
      </c>
      <c r="D66" s="22" t="s">
        <v>291</v>
      </c>
      <c r="E66" s="46" t="n">
        <f aca="false">'주별 매출'!D85</f>
        <v>7</v>
      </c>
      <c r="F66" s="12" t="n">
        <f aca="false">AVERAGE('월별 매출'!D85:F85)</f>
        <v>21486720</v>
      </c>
      <c r="G66" s="12" t="n">
        <f aca="false">AVERAGE('월별 매출'!J85:L85)</f>
        <v>18795560</v>
      </c>
      <c r="H66" s="20" t="n">
        <f aca="false">IF(F66=0,"",G66/F66-1)</f>
        <v>-0.125247594793435</v>
      </c>
      <c r="I66" s="12" t="n">
        <f aca="false">'월별 매출'!L85</f>
        <v>21621320</v>
      </c>
      <c r="J66" s="20" t="n">
        <f aca="false">'월별 매출'!U85</f>
        <v>0.394629649099835</v>
      </c>
      <c r="K66" s="12" t="n">
        <f aca="false">'주별 매출'!BM85</f>
        <v>6362940</v>
      </c>
      <c r="L66" s="20" t="n">
        <f aca="false">IF('주별 매출'!BL85=0,"",K66/'주별 매출'!BL85-1)</f>
        <v>0.619583837098314</v>
      </c>
      <c r="M66" s="12" t="n">
        <f aca="false">SUM('주별 매출'!BJ85:BM85)</f>
        <v>20146970</v>
      </c>
      <c r="N66" s="12" t="n">
        <f aca="false">SUM('주별 매출'!BF85:BI85)</f>
        <v>17692010</v>
      </c>
      <c r="O66" s="20" t="n">
        <f aca="false">IF(N66=0,"",M66/N66-1)</f>
        <v>0.138760943499354</v>
      </c>
      <c r="P66" s="12" t="n">
        <f aca="false">'주별 매출'!M85</f>
        <v>4685280</v>
      </c>
      <c r="Q66" s="20" t="n">
        <f aca="false">IF(P66=0,"",K66/P66-1)</f>
        <v>0.358070382132978</v>
      </c>
      <c r="R66" s="20" t="n">
        <f aca="false">IF($M$8=0,"",M66/$M$8)</f>
        <v>0.00100926718251633</v>
      </c>
      <c r="S66" s="21" t="str">
        <f aca="false">IF(AND(M66=0,N66=0),"-",IF(N66=0,"● 신규 발생",IF(M66=0,"■ 매출 중단",IF(O66&gt;=0.05,"▲ 상승",IF(O66&lt;=-0.05,"▼ 하락","― 보합")))))</f>
        <v>▲ 상승</v>
      </c>
      <c r="T66" s="21" t="str">
        <f aca="false">IF(AND(F66=0,G66=0),"-",IF(F66=0,"● 신규 발생",IF(G66=0,"■ 매출 중단",IF(H66&gt;=0.05,"▲ 상승",IF(H66&lt;=-0.05,"▼ 하락","― 보합")))))</f>
        <v>▼ 하락</v>
      </c>
      <c r="U66" s="48"/>
    </row>
    <row r="67" customFormat="false" ht="15" hidden="false" customHeight="false" outlineLevel="0" collapsed="false">
      <c r="A67" s="21" t="n">
        <v>59</v>
      </c>
      <c r="B67" s="19" t="s">
        <v>181</v>
      </c>
      <c r="C67" s="22" t="s">
        <v>292</v>
      </c>
      <c r="D67" s="19" t="s">
        <v>293</v>
      </c>
      <c r="E67" s="46" t="n">
        <f aca="false">'주별 매출'!D62</f>
        <v>9</v>
      </c>
      <c r="F67" s="12" t="n">
        <f aca="false">AVERAGE('월별 매출'!D62:F62)</f>
        <v>28161125.3333333</v>
      </c>
      <c r="G67" s="12" t="n">
        <f aca="false">AVERAGE('월별 매출'!J62:L62)</f>
        <v>21965799.3333333</v>
      </c>
      <c r="H67" s="20" t="n">
        <f aca="false">IF(F67=0,"",G67/F67-1)</f>
        <v>-0.21999568293767</v>
      </c>
      <c r="I67" s="12" t="n">
        <f aca="false">'월별 매출'!L62</f>
        <v>21091915</v>
      </c>
      <c r="J67" s="20" t="n">
        <f aca="false">'월별 매출'!U62</f>
        <v>-0.0164777479058916</v>
      </c>
      <c r="K67" s="12" t="n">
        <f aca="false">'주별 매출'!BM62</f>
        <v>5374458</v>
      </c>
      <c r="L67" s="20" t="n">
        <f aca="false">IF('주별 매출'!BL62=0,"",K67/'주별 매출'!BL62-1)</f>
        <v>0.331965132947244</v>
      </c>
      <c r="M67" s="12" t="n">
        <f aca="false">SUM('주별 매출'!BJ62:BM62)</f>
        <v>19049176</v>
      </c>
      <c r="N67" s="12" t="n">
        <f aca="false">SUM('주별 매출'!BF62:BI62)</f>
        <v>19866545</v>
      </c>
      <c r="O67" s="20" t="n">
        <f aca="false">IF(N67=0,"",M67/N67-1)</f>
        <v>-0.0411429868656075</v>
      </c>
      <c r="P67" s="12" t="n">
        <f aca="false">'주별 매출'!M62</f>
        <v>7722519</v>
      </c>
      <c r="Q67" s="20" t="n">
        <f aca="false">IF(P67=0,"",K67/P67-1)</f>
        <v>-0.304053767947997</v>
      </c>
      <c r="R67" s="20" t="n">
        <f aca="false">IF($M$8=0,"",M67/$M$8)</f>
        <v>0.000954272934876942</v>
      </c>
      <c r="S67" s="21" t="str">
        <f aca="false">IF(AND(M67=0,N67=0),"-",IF(N67=0,"● 신규 발생",IF(M67=0,"■ 매출 중단",IF(O67&gt;=0.05,"▲ 상승",IF(O67&lt;=-0.05,"▼ 하락","― 보합")))))</f>
        <v>― 보합</v>
      </c>
      <c r="T67" s="21" t="str">
        <f aca="false">IF(AND(F67=0,G67=0),"-",IF(F67=0,"● 신규 발생",IF(G67=0,"■ 매출 중단",IF(H67&gt;=0.05,"▲ 상승",IF(H67&lt;=-0.05,"▼ 하락","― 보합")))))</f>
        <v>▼ 하락</v>
      </c>
      <c r="U67" s="48"/>
    </row>
    <row r="68" customFormat="false" ht="15" hidden="false" customHeight="false" outlineLevel="0" collapsed="false">
      <c r="A68" s="21" t="n">
        <v>60</v>
      </c>
      <c r="B68" s="19" t="s">
        <v>181</v>
      </c>
      <c r="C68" s="22" t="s">
        <v>294</v>
      </c>
      <c r="D68" s="19" t="s">
        <v>295</v>
      </c>
      <c r="E68" s="46" t="n">
        <f aca="false">'주별 매출'!D105</f>
        <v>7</v>
      </c>
      <c r="F68" s="12" t="n">
        <f aca="false">AVERAGE('월별 매출'!D105:F105)</f>
        <v>23103025.6666667</v>
      </c>
      <c r="G68" s="12" t="n">
        <f aca="false">AVERAGE('월별 매출'!J105:L105)</f>
        <v>18234887.6666667</v>
      </c>
      <c r="H68" s="20" t="n">
        <f aca="false">IF(F68=0,"",G68/F68-1)</f>
        <v>-0.210714305140725</v>
      </c>
      <c r="I68" s="12" t="n">
        <f aca="false">'월별 매출'!L105</f>
        <v>21527190</v>
      </c>
      <c r="J68" s="20" t="n">
        <f aca="false">'월별 매출'!U105</f>
        <v>0.323744271122473</v>
      </c>
      <c r="K68" s="12" t="n">
        <f aca="false">'주별 매출'!BM105</f>
        <v>3516682</v>
      </c>
      <c r="L68" s="20" t="n">
        <f aca="false">IF('주별 매출'!BL105=0,"",K68/'주별 매출'!BL105-1)</f>
        <v>-0.252074845217387</v>
      </c>
      <c r="M68" s="12" t="n">
        <f aca="false">SUM('주별 매출'!BJ105:BM105)</f>
        <v>17898149</v>
      </c>
      <c r="N68" s="12" t="n">
        <f aca="false">SUM('주별 매출'!BF105:BI105)</f>
        <v>17917342</v>
      </c>
      <c r="O68" s="20" t="n">
        <f aca="false">IF(N68=0,"",M68/N68-1)</f>
        <v>-0.00107119683265522</v>
      </c>
      <c r="P68" s="12" t="n">
        <f aca="false">'주별 매출'!M105</f>
        <v>5869250</v>
      </c>
      <c r="Q68" s="20" t="n">
        <f aca="false">IF(P68=0,"",K68/P68-1)</f>
        <v>-0.400829407505218</v>
      </c>
      <c r="R68" s="20" t="n">
        <f aca="false">IF($M$8=0,"",M68/$M$8)</f>
        <v>0.000896611967630243</v>
      </c>
      <c r="S68" s="21" t="str">
        <f aca="false">IF(AND(M68=0,N68=0),"-",IF(N68=0,"● 신규 발생",IF(M68=0,"■ 매출 중단",IF(O68&gt;=0.05,"▲ 상승",IF(O68&lt;=-0.05,"▼ 하락","― 보합")))))</f>
        <v>― 보합</v>
      </c>
      <c r="T68" s="21" t="str">
        <f aca="false">IF(AND(F68=0,G68=0),"-",IF(F68=0,"● 신규 발생",IF(G68=0,"■ 매출 중단",IF(H68&gt;=0.05,"▲ 상승",IF(H68&lt;=-0.05,"▼ 하락","― 보합")))))</f>
        <v>▼ 하락</v>
      </c>
      <c r="U68" s="48"/>
    </row>
    <row r="69" customFormat="false" ht="15" hidden="false" customHeight="false" outlineLevel="0" collapsed="false">
      <c r="A69" s="21" t="n">
        <v>61</v>
      </c>
      <c r="B69" s="19" t="s">
        <v>181</v>
      </c>
      <c r="C69" s="22" t="s">
        <v>296</v>
      </c>
      <c r="D69" s="22" t="s">
        <v>297</v>
      </c>
      <c r="E69" s="46" t="n">
        <f aca="false">'주별 매출'!D66</f>
        <v>2</v>
      </c>
      <c r="F69" s="12" t="n">
        <f aca="false">AVERAGE('월별 매출'!D66:F66)</f>
        <v>29973406.3333333</v>
      </c>
      <c r="G69" s="12" t="n">
        <f aca="false">AVERAGE('월별 매출'!J66:L66)</f>
        <v>25019393.6666667</v>
      </c>
      <c r="H69" s="20" t="n">
        <f aca="false">IF(F69=0,"",G69/F69-1)</f>
        <v>-0.165280269168384</v>
      </c>
      <c r="I69" s="12" t="n">
        <f aca="false">'월별 매출'!L66</f>
        <v>24085838</v>
      </c>
      <c r="J69" s="20" t="n">
        <f aca="false">'월별 매출'!U66</f>
        <v>0.0530567817229806</v>
      </c>
      <c r="K69" s="12" t="n">
        <f aca="false">'주별 매출'!BM66</f>
        <v>5136616</v>
      </c>
      <c r="L69" s="20" t="n">
        <f aca="false">IF('주별 매출'!BL66=0,"",K69/'주별 매출'!BL66-1)</f>
        <v>0.371700009720384</v>
      </c>
      <c r="M69" s="12" t="n">
        <f aca="false">SUM('주별 매출'!BJ66:BM66)</f>
        <v>16649205</v>
      </c>
      <c r="N69" s="12" t="n">
        <f aca="false">SUM('주별 매출'!BF66:BI66)</f>
        <v>26964117</v>
      </c>
      <c r="O69" s="20" t="n">
        <f aca="false">IF(N69=0,"",M69/N69-1)</f>
        <v>-0.382542176330121</v>
      </c>
      <c r="P69" s="12" t="n">
        <f aca="false">'주별 매출'!M66</f>
        <v>9131790</v>
      </c>
      <c r="Q69" s="20" t="n">
        <f aca="false">IF(P69=0,"",K69/P69-1)</f>
        <v>-0.437501738432443</v>
      </c>
      <c r="R69" s="20" t="n">
        <f aca="false">IF($M$8=0,"",M69/$M$8)</f>
        <v>0.000834045825326925</v>
      </c>
      <c r="S69" s="21" t="str">
        <f aca="false">IF(AND(M69=0,N69=0),"-",IF(N69=0,"● 신규 발생",IF(M69=0,"■ 매출 중단",IF(O69&gt;=0.05,"▲ 상승",IF(O69&lt;=-0.05,"▼ 하락","― 보합")))))</f>
        <v>▼ 하락</v>
      </c>
      <c r="T69" s="21" t="str">
        <f aca="false">IF(AND(F69=0,G69=0),"-",IF(F69=0,"● 신규 발생",IF(G69=0,"■ 매출 중단",IF(H69&gt;=0.05,"▲ 상승",IF(H69&lt;=-0.05,"▼ 하락","― 보합")))))</f>
        <v>▼ 하락</v>
      </c>
      <c r="U69" s="48"/>
    </row>
    <row r="70" customFormat="false" ht="15" hidden="false" customHeight="false" outlineLevel="0" collapsed="false">
      <c r="A70" s="21" t="n">
        <v>62</v>
      </c>
      <c r="B70" s="19" t="s">
        <v>183</v>
      </c>
      <c r="C70" s="22" t="s">
        <v>298</v>
      </c>
      <c r="D70" s="19" t="s">
        <v>299</v>
      </c>
      <c r="E70" s="46" t="n">
        <f aca="false">'주별 매출'!D22</f>
        <v>13</v>
      </c>
      <c r="F70" s="12" t="n">
        <f aca="false">AVERAGE('월별 매출'!D22:F22)</f>
        <v>0</v>
      </c>
      <c r="G70" s="12" t="n">
        <f aca="false">AVERAGE('월별 매출'!J22:L22)</f>
        <v>33371628.6666667</v>
      </c>
      <c r="H70" s="20" t="str">
        <f aca="false">IF(F70=0,"",G70/F70-1)</f>
        <v/>
      </c>
      <c r="I70" s="12" t="n">
        <f aca="false">'월별 매출'!L22</f>
        <v>40039396</v>
      </c>
      <c r="J70" s="20" t="n">
        <f aca="false">'월별 매출'!U22</f>
        <v>0.382590151141069</v>
      </c>
      <c r="K70" s="12" t="n">
        <f aca="false">'주별 매출'!BM22</f>
        <v>4798930</v>
      </c>
      <c r="L70" s="20" t="n">
        <f aca="false">IF('주별 매출'!BL22=0,"",K70/'주별 매출'!BL22-1)</f>
        <v>0.106863855374446</v>
      </c>
      <c r="M70" s="12" t="n">
        <f aca="false">SUM('주별 매출'!BJ22:BM22)</f>
        <v>15554030</v>
      </c>
      <c r="N70" s="12" t="n">
        <f aca="false">SUM('주별 매출'!BF22:BI22)</f>
        <v>34537980</v>
      </c>
      <c r="O70" s="20" t="n">
        <f aca="false">IF(N70=0,"",M70/N70-1)</f>
        <v>-0.549654322574742</v>
      </c>
      <c r="P70" s="12" t="n">
        <f aca="false">'주별 매출'!M22</f>
        <v>0</v>
      </c>
      <c r="Q70" s="20" t="str">
        <f aca="false">IF(P70=0,"",K70/P70-1)</f>
        <v/>
      </c>
      <c r="R70" s="20" t="n">
        <f aca="false">IF($M$8=0,"",M70/$M$8)</f>
        <v>0.000779182777106159</v>
      </c>
      <c r="S70" s="21" t="str">
        <f aca="false">IF(AND(M70=0,N70=0),"-",IF(N70=0,"● 신규 발생",IF(M70=0,"■ 매출 중단",IF(O70&gt;=0.05,"▲ 상승",IF(O70&lt;=-0.05,"▼ 하락","― 보합")))))</f>
        <v>▼ 하락</v>
      </c>
      <c r="T70" s="21" t="str">
        <f aca="false">IF(AND(F70=0,G70=0),"-",IF(F70=0,"● 신규 발생",IF(G70=0,"■ 매출 중단",IF(H70&gt;=0.05,"▲ 상승",IF(H70&lt;=-0.05,"▼ 하락","― 보합")))))</f>
        <v>● 신규 발생</v>
      </c>
      <c r="U70" s="48"/>
    </row>
    <row r="71" customFormat="false" ht="15" hidden="false" customHeight="false" outlineLevel="0" collapsed="false">
      <c r="A71" s="21" t="n">
        <v>63</v>
      </c>
      <c r="B71" s="19" t="s">
        <v>183</v>
      </c>
      <c r="C71" s="22" t="s">
        <v>300</v>
      </c>
      <c r="D71" s="19" t="s">
        <v>301</v>
      </c>
      <c r="E71" s="46" t="n">
        <f aca="false">'주별 매출'!D6</f>
        <v>6</v>
      </c>
      <c r="F71" s="12" t="n">
        <f aca="false">AVERAGE('월별 매출'!D6:F6)</f>
        <v>28292314</v>
      </c>
      <c r="G71" s="12" t="n">
        <f aca="false">AVERAGE('월별 매출'!J6:L6)</f>
        <v>19737246.6666667</v>
      </c>
      <c r="H71" s="20" t="n">
        <f aca="false">IF(F71=0,"",G71/F71-1)</f>
        <v>-0.302381322833238</v>
      </c>
      <c r="I71" s="12" t="n">
        <f aca="false">'월별 매출'!L6</f>
        <v>18149340</v>
      </c>
      <c r="J71" s="20" t="n">
        <f aca="false">'월별 매출'!U6</f>
        <v>-0.0328697689140784</v>
      </c>
      <c r="K71" s="12" t="n">
        <f aca="false">'주별 매출'!BM6</f>
        <v>4361210</v>
      </c>
      <c r="L71" s="20" t="n">
        <f aca="false">IF('주별 매출'!BL6=0,"",K71/'주별 매출'!BL6-1)</f>
        <v>0.664437854692145</v>
      </c>
      <c r="M71" s="12" t="n">
        <f aca="false">SUM('주별 매출'!BJ6:BM6)</f>
        <v>15250900</v>
      </c>
      <c r="N71" s="12" t="n">
        <f aca="false">SUM('주별 매출'!BF6:BI6)</f>
        <v>16527470</v>
      </c>
      <c r="O71" s="20" t="n">
        <f aca="false">IF(N71=0,"",M71/N71-1)</f>
        <v>-0.0772392870778165</v>
      </c>
      <c r="P71" s="12" t="n">
        <f aca="false">'주별 매출'!M6</f>
        <v>0</v>
      </c>
      <c r="Q71" s="20" t="str">
        <f aca="false">IF(P71=0,"",K71/P71-1)</f>
        <v/>
      </c>
      <c r="R71" s="20" t="n">
        <f aca="false">IF($M$8=0,"",M71/$M$8)</f>
        <v>0.000763997408733835</v>
      </c>
      <c r="S71" s="21" t="str">
        <f aca="false">IF(AND(M71=0,N71=0),"-",IF(N71=0,"● 신규 발생",IF(M71=0,"■ 매출 중단",IF(O71&gt;=0.05,"▲ 상승",IF(O71&lt;=-0.05,"▼ 하락","― 보합")))))</f>
        <v>▼ 하락</v>
      </c>
      <c r="T71" s="21" t="str">
        <f aca="false">IF(AND(F71=0,G71=0),"-",IF(F71=0,"● 신규 발생",IF(G71=0,"■ 매출 중단",IF(H71&gt;=0.05,"▲ 상승",IF(H71&lt;=-0.05,"▼ 하락","― 보합")))))</f>
        <v>▼ 하락</v>
      </c>
      <c r="U71" s="48"/>
    </row>
    <row r="72" customFormat="false" ht="15" hidden="false" customHeight="false" outlineLevel="0" collapsed="false">
      <c r="A72" s="21" t="n">
        <v>64</v>
      </c>
      <c r="B72" s="19" t="s">
        <v>181</v>
      </c>
      <c r="C72" s="22" t="s">
        <v>302</v>
      </c>
      <c r="D72" s="22" t="s">
        <v>303</v>
      </c>
      <c r="E72" s="46" t="n">
        <f aca="false">'주별 매출'!D117</f>
        <v>7</v>
      </c>
      <c r="F72" s="12" t="n">
        <f aca="false">AVERAGE('월별 매출'!D117:F117)</f>
        <v>22105050</v>
      </c>
      <c r="G72" s="12" t="n">
        <f aca="false">AVERAGE('월별 매출'!J117:L117)</f>
        <v>18857773.3333333</v>
      </c>
      <c r="H72" s="20" t="n">
        <f aca="false">IF(F72=0,"",G72/F72-1)</f>
        <v>-0.146902027666378</v>
      </c>
      <c r="I72" s="12" t="n">
        <f aca="false">'월별 매출'!L117</f>
        <v>17911440</v>
      </c>
      <c r="J72" s="20" t="n">
        <f aca="false">'월별 매출'!U117</f>
        <v>-0.0228752108477772</v>
      </c>
      <c r="K72" s="12" t="n">
        <f aca="false">'주별 매출'!BM117</f>
        <v>3715340</v>
      </c>
      <c r="L72" s="20" t="n">
        <f aca="false">IF('주별 매출'!BL117=0,"",K72/'주별 매출'!BL117-1)</f>
        <v>-0.06080331254566</v>
      </c>
      <c r="M72" s="12" t="n">
        <f aca="false">SUM('주별 매출'!BJ117:BM117)</f>
        <v>15171670</v>
      </c>
      <c r="N72" s="12" t="n">
        <f aca="false">SUM('주별 매출'!BF117:BI117)</f>
        <v>17746020</v>
      </c>
      <c r="O72" s="20" t="n">
        <f aca="false">IF(N72=0,"",M72/N72-1)</f>
        <v>-0.145066330365907</v>
      </c>
      <c r="P72" s="12" t="n">
        <f aca="false">'주별 매출'!M117</f>
        <v>0</v>
      </c>
      <c r="Q72" s="20" t="str">
        <f aca="false">IF(P72=0,"",K72/P72-1)</f>
        <v/>
      </c>
      <c r="R72" s="20" t="n">
        <f aca="false">IF($M$8=0,"",M72/$M$8)</f>
        <v>0.000760028363320516</v>
      </c>
      <c r="S72" s="21" t="str">
        <f aca="false">IF(AND(M72=0,N72=0),"-",IF(N72=0,"● 신규 발생",IF(M72=0,"■ 매출 중단",IF(O72&gt;=0.05,"▲ 상승",IF(O72&lt;=-0.05,"▼ 하락","― 보합")))))</f>
        <v>▼ 하락</v>
      </c>
      <c r="T72" s="21" t="str">
        <f aca="false">IF(AND(F72=0,G72=0),"-",IF(F72=0,"● 신규 발생",IF(G72=0,"■ 매출 중단",IF(H72&gt;=0.05,"▲ 상승",IF(H72&lt;=-0.05,"▼ 하락","― 보합")))))</f>
        <v>▼ 하락</v>
      </c>
      <c r="U72" s="48"/>
    </row>
    <row r="73" customFormat="false" ht="15" hidden="false" customHeight="false" outlineLevel="0" collapsed="false">
      <c r="A73" s="21" t="n">
        <v>65</v>
      </c>
      <c r="B73" s="19" t="s">
        <v>181</v>
      </c>
      <c r="C73" s="22" t="s">
        <v>304</v>
      </c>
      <c r="D73" s="22" t="s">
        <v>305</v>
      </c>
      <c r="E73" s="46" t="n">
        <f aca="false">'주별 매출'!D80</f>
        <v>8</v>
      </c>
      <c r="F73" s="12" t="n">
        <f aca="false">AVERAGE('월별 매출'!D80:F80)</f>
        <v>18629716.6666667</v>
      </c>
      <c r="G73" s="12" t="n">
        <f aca="false">AVERAGE('월별 매출'!J80:L80)</f>
        <v>17459583.3333333</v>
      </c>
      <c r="H73" s="20" t="n">
        <f aca="false">IF(F73=0,"",G73/F73-1)</f>
        <v>-0.062810044525637</v>
      </c>
      <c r="I73" s="12" t="n">
        <f aca="false">'월별 매출'!L80</f>
        <v>16508490</v>
      </c>
      <c r="J73" s="20" t="n">
        <f aca="false">'월별 매출'!U80</f>
        <v>-0.100627765849821</v>
      </c>
      <c r="K73" s="12" t="n">
        <f aca="false">'주별 매출'!BM80</f>
        <v>3463540</v>
      </c>
      <c r="L73" s="20" t="n">
        <f aca="false">IF('주별 매출'!BL80=0,"",K73/'주별 매출'!BL80-1)</f>
        <v>-0.119632962228661</v>
      </c>
      <c r="M73" s="12" t="n">
        <f aca="false">SUM('주별 매출'!BJ80:BM80)</f>
        <v>14542130</v>
      </c>
      <c r="N73" s="12" t="n">
        <f aca="false">SUM('주별 매출'!BF80:BI80)</f>
        <v>15588360</v>
      </c>
      <c r="O73" s="20" t="n">
        <f aca="false">IF(N73=0,"",M73/N73-1)</f>
        <v>-0.0671161045805974</v>
      </c>
      <c r="P73" s="12" t="n">
        <f aca="false">'주별 매출'!M80</f>
        <v>5031420</v>
      </c>
      <c r="Q73" s="20" t="n">
        <f aca="false">IF(P73=0,"",K73/P73-1)</f>
        <v>-0.311617793783862</v>
      </c>
      <c r="R73" s="20" t="n">
        <f aca="false">IF($M$8=0,"",M73/$M$8)</f>
        <v>0.000728491409521442</v>
      </c>
      <c r="S73" s="21" t="str">
        <f aca="false">IF(AND(M73=0,N73=0),"-",IF(N73=0,"● 신규 발생",IF(M73=0,"■ 매출 중단",IF(O73&gt;=0.05,"▲ 상승",IF(O73&lt;=-0.05,"▼ 하락","― 보합")))))</f>
        <v>▼ 하락</v>
      </c>
      <c r="T73" s="21" t="str">
        <f aca="false">IF(AND(F73=0,G73=0),"-",IF(F73=0,"● 신규 발생",IF(G73=0,"■ 매출 중단",IF(H73&gt;=0.05,"▲ 상승",IF(H73&lt;=-0.05,"▼ 하락","― 보합")))))</f>
        <v>▼ 하락</v>
      </c>
      <c r="U73" s="48"/>
    </row>
    <row r="74" customFormat="false" ht="15" hidden="false" customHeight="false" outlineLevel="0" collapsed="false">
      <c r="A74" s="21" t="n">
        <v>66</v>
      </c>
      <c r="B74" s="19" t="s">
        <v>183</v>
      </c>
      <c r="C74" s="22" t="s">
        <v>306</v>
      </c>
      <c r="D74" s="19" t="s">
        <v>307</v>
      </c>
      <c r="E74" s="46" t="n">
        <f aca="false">'주별 매출'!D17</f>
        <v>5</v>
      </c>
      <c r="F74" s="12" t="n">
        <f aca="false">AVERAGE('월별 매출'!D17:F17)</f>
        <v>0</v>
      </c>
      <c r="G74" s="12" t="n">
        <f aca="false">AVERAGE('월별 매출'!J17:L17)</f>
        <v>20864777.6666667</v>
      </c>
      <c r="H74" s="20" t="str">
        <f aca="false">IF(F74=0,"",G74/F74-1)</f>
        <v/>
      </c>
      <c r="I74" s="12" t="n">
        <f aca="false">'월별 매출'!L17</f>
        <v>18298562</v>
      </c>
      <c r="J74" s="20" t="n">
        <f aca="false">'월별 매출'!U17</f>
        <v>-0.0258834068609601</v>
      </c>
      <c r="K74" s="12" t="n">
        <f aca="false">'주별 매출'!BM17</f>
        <v>3406305</v>
      </c>
      <c r="L74" s="20" t="n">
        <f aca="false">IF('주별 매출'!BL17=0,"",K74/'주별 매출'!BL17-1)</f>
        <v>0.376596320783692</v>
      </c>
      <c r="M74" s="12" t="n">
        <f aca="false">SUM('주별 매출'!BJ17:BM17)</f>
        <v>12817005</v>
      </c>
      <c r="N74" s="12" t="n">
        <f aca="false">SUM('주별 매출'!BF17:BI17)</f>
        <v>18093659</v>
      </c>
      <c r="O74" s="20" t="n">
        <f aca="false">IF(N74=0,"",M74/N74-1)</f>
        <v>-0.291630012481168</v>
      </c>
      <c r="P74" s="12" t="n">
        <f aca="false">'주별 매출'!M17</f>
        <v>0</v>
      </c>
      <c r="Q74" s="20" t="str">
        <f aca="false">IF(P74=0,"",K74/P74-1)</f>
        <v/>
      </c>
      <c r="R74" s="20" t="n">
        <f aca="false">IF($M$8=0,"",M74/$M$8)</f>
        <v>0.000642070868455541</v>
      </c>
      <c r="S74" s="21" t="str">
        <f aca="false">IF(AND(M74=0,N74=0),"-",IF(N74=0,"● 신규 발생",IF(M74=0,"■ 매출 중단",IF(O74&gt;=0.05,"▲ 상승",IF(O74&lt;=-0.05,"▼ 하락","― 보합")))))</f>
        <v>▼ 하락</v>
      </c>
      <c r="T74" s="21" t="str">
        <f aca="false">IF(AND(F74=0,G74=0),"-",IF(F74=0,"● 신규 발생",IF(G74=0,"■ 매출 중단",IF(H74&gt;=0.05,"▲ 상승",IF(H74&lt;=-0.05,"▼ 하락","― 보합")))))</f>
        <v>● 신규 발생</v>
      </c>
      <c r="U74" s="48"/>
    </row>
    <row r="75" customFormat="false" ht="15" hidden="false" customHeight="false" outlineLevel="0" collapsed="false">
      <c r="A75" s="21" t="n">
        <v>67</v>
      </c>
      <c r="B75" s="19" t="s">
        <v>181</v>
      </c>
      <c r="C75" s="22" t="s">
        <v>308</v>
      </c>
      <c r="D75" s="19" t="s">
        <v>309</v>
      </c>
      <c r="E75" s="46" t="n">
        <f aca="false">'주별 매출'!D99</f>
        <v>10</v>
      </c>
      <c r="F75" s="12" t="n">
        <f aca="false">AVERAGE('월별 매출'!D99:F99)</f>
        <v>50398345.3333333</v>
      </c>
      <c r="G75" s="12" t="n">
        <f aca="false">AVERAGE('월별 매출'!J99:L99)</f>
        <v>17809277</v>
      </c>
      <c r="H75" s="20" t="n">
        <f aca="false">IF(F75=0,"",G75/F75-1)</f>
        <v>-0.64662972797599</v>
      </c>
      <c r="I75" s="12" t="n">
        <f aca="false">'월별 매출'!L99</f>
        <v>13174539</v>
      </c>
      <c r="J75" s="20" t="n">
        <f aca="false">'월별 매출'!U99</f>
        <v>-0.146474063014381</v>
      </c>
      <c r="K75" s="12" t="n">
        <f aca="false">'주별 매출'!BM99</f>
        <v>3280807</v>
      </c>
      <c r="L75" s="20" t="n">
        <f aca="false">IF('주별 매출'!BL99=0,"",K75/'주별 매출'!BL99-1)</f>
        <v>0.0891686906499276</v>
      </c>
      <c r="M75" s="12" t="n">
        <f aca="false">SUM('주별 매출'!BJ99:BM99)</f>
        <v>11907364</v>
      </c>
      <c r="N75" s="12" t="n">
        <f aca="false">SUM('주별 매출'!BF99:BI99)</f>
        <v>13169438</v>
      </c>
      <c r="O75" s="20" t="n">
        <f aca="false">IF(N75=0,"",M75/N75-1)</f>
        <v>-0.0958335503762575</v>
      </c>
      <c r="P75" s="12" t="n">
        <f aca="false">'주별 매출'!M99</f>
        <v>14879154</v>
      </c>
      <c r="Q75" s="20" t="n">
        <f aca="false">IF(P75=0,"",K75/P75-1)</f>
        <v>-0.779503122287732</v>
      </c>
      <c r="R75" s="20" t="n">
        <f aca="false">IF($M$8=0,"",M75/$M$8)</f>
        <v>0.000596502189434758</v>
      </c>
      <c r="S75" s="21" t="str">
        <f aca="false">IF(AND(M75=0,N75=0),"-",IF(N75=0,"● 신규 발생",IF(M75=0,"■ 매출 중단",IF(O75&gt;=0.05,"▲ 상승",IF(O75&lt;=-0.05,"▼ 하락","― 보합")))))</f>
        <v>▼ 하락</v>
      </c>
      <c r="T75" s="21" t="str">
        <f aca="false">IF(AND(F75=0,G75=0),"-",IF(F75=0,"● 신규 발생",IF(G75=0,"■ 매출 중단",IF(H75&gt;=0.05,"▲ 상승",IF(H75&lt;=-0.05,"▼ 하락","― 보합")))))</f>
        <v>▼ 하락</v>
      </c>
      <c r="U75" s="48"/>
    </row>
    <row r="76" customFormat="false" ht="15" hidden="false" customHeight="false" outlineLevel="0" collapsed="false">
      <c r="A76" s="21" t="n">
        <v>68</v>
      </c>
      <c r="B76" s="19" t="s">
        <v>181</v>
      </c>
      <c r="C76" s="22" t="s">
        <v>310</v>
      </c>
      <c r="D76" s="19" t="s">
        <v>311</v>
      </c>
      <c r="E76" s="46" t="n">
        <f aca="false">'주별 매출'!D114</f>
        <v>2</v>
      </c>
      <c r="F76" s="12" t="n">
        <f aca="false">AVERAGE('월별 매출'!D114:F114)</f>
        <v>3316870.66666667</v>
      </c>
      <c r="G76" s="12" t="n">
        <f aca="false">AVERAGE('월별 매출'!J114:L114)</f>
        <v>13591016</v>
      </c>
      <c r="H76" s="20" t="n">
        <f aca="false">IF(F76=0,"",G76/F76-1)</f>
        <v>3.09754173914127</v>
      </c>
      <c r="I76" s="12" t="n">
        <f aca="false">'월별 매출'!L114</f>
        <v>13470910</v>
      </c>
      <c r="J76" s="20" t="n">
        <f aca="false">'월별 매출'!U114</f>
        <v>0.0252366218703284</v>
      </c>
      <c r="K76" s="12" t="n">
        <f aca="false">'주별 매출'!BM114</f>
        <v>2711788</v>
      </c>
      <c r="L76" s="20" t="n">
        <f aca="false">IF('주별 매출'!BL114=0,"",K76/'주별 매출'!BL114-1)</f>
        <v>0.0591581377981849</v>
      </c>
      <c r="M76" s="12" t="n">
        <f aca="false">SUM('주별 매출'!BJ114:BM114)</f>
        <v>11148007</v>
      </c>
      <c r="N76" s="12" t="n">
        <f aca="false">SUM('주별 매출'!BF114:BI114)</f>
        <v>13249845</v>
      </c>
      <c r="O76" s="20" t="n">
        <f aca="false">IF(N76=0,"",M76/N76-1)</f>
        <v>-0.158631138703887</v>
      </c>
      <c r="P76" s="12" t="n">
        <f aca="false">'주별 매출'!M114</f>
        <v>0</v>
      </c>
      <c r="Q76" s="20" t="str">
        <f aca="false">IF(P76=0,"",K76/P76-1)</f>
        <v/>
      </c>
      <c r="R76" s="20" t="n">
        <f aca="false">IF($M$8=0,"",M76/$M$8)</f>
        <v>0.000558462022605004</v>
      </c>
      <c r="S76" s="21" t="str">
        <f aca="false">IF(AND(M76=0,N76=0),"-",IF(N76=0,"● 신규 발생",IF(M76=0,"■ 매출 중단",IF(O76&gt;=0.05,"▲ 상승",IF(O76&lt;=-0.05,"▼ 하락","― 보합")))))</f>
        <v>▼ 하락</v>
      </c>
      <c r="T76" s="21" t="str">
        <f aca="false">IF(AND(F76=0,G76=0),"-",IF(F76=0,"● 신규 발생",IF(G76=0,"■ 매출 중단",IF(H76&gt;=0.05,"▲ 상승",IF(H76&lt;=-0.05,"▼ 하락","― 보합")))))</f>
        <v>▲ 상승</v>
      </c>
      <c r="U76" s="48"/>
    </row>
    <row r="77" customFormat="false" ht="15" hidden="false" customHeight="false" outlineLevel="0" collapsed="false">
      <c r="A77" s="21" t="n">
        <v>69</v>
      </c>
      <c r="B77" s="19" t="s">
        <v>181</v>
      </c>
      <c r="C77" s="22" t="s">
        <v>312</v>
      </c>
      <c r="D77" s="22" t="s">
        <v>313</v>
      </c>
      <c r="E77" s="46" t="n">
        <f aca="false">'주별 매출'!D119</f>
        <v>8</v>
      </c>
      <c r="F77" s="12" t="n">
        <f aca="false">AVERAGE('월별 매출'!D119:F119)</f>
        <v>12029833.3333333</v>
      </c>
      <c r="G77" s="12" t="n">
        <f aca="false">AVERAGE('월별 매출'!J119:L119)</f>
        <v>9859366.66666667</v>
      </c>
      <c r="H77" s="20" t="n">
        <f aca="false">IF(F77=0,"",G77/F77-1)</f>
        <v>-0.180423668934178</v>
      </c>
      <c r="I77" s="12" t="n">
        <f aca="false">'월별 매출'!L119</f>
        <v>11605480</v>
      </c>
      <c r="J77" s="20" t="n">
        <f aca="false">'월별 매출'!U119</f>
        <v>0.301728237753829</v>
      </c>
      <c r="K77" s="12" t="n">
        <f aca="false">'주별 매출'!BM119</f>
        <v>3958440</v>
      </c>
      <c r="L77" s="20" t="n">
        <f aca="false">IF('주별 매출'!BL119=0,"",K77/'주별 매출'!BL119-1)</f>
        <v>0.855713019956777</v>
      </c>
      <c r="M77" s="12" t="n">
        <f aca="false">SUM('주별 매출'!BJ119:BM119)</f>
        <v>11054030</v>
      </c>
      <c r="N77" s="12" t="n">
        <f aca="false">SUM('주별 매출'!BF119:BI119)</f>
        <v>10046820</v>
      </c>
      <c r="O77" s="20" t="n">
        <f aca="false">IF(N77=0,"",M77/N77-1)</f>
        <v>0.100251621906235</v>
      </c>
      <c r="P77" s="12" t="n">
        <f aca="false">'주별 매출'!M119</f>
        <v>0</v>
      </c>
      <c r="Q77" s="20" t="str">
        <f aca="false">IF(P77=0,"",K77/P77-1)</f>
        <v/>
      </c>
      <c r="R77" s="20" t="n">
        <f aca="false">IF($M$8=0,"",M77/$M$8)</f>
        <v>0.000553754222771513</v>
      </c>
      <c r="S77" s="21" t="str">
        <f aca="false">IF(AND(M77=0,N77=0),"-",IF(N77=0,"● 신규 발생",IF(M77=0,"■ 매출 중단",IF(O77&gt;=0.05,"▲ 상승",IF(O77&lt;=-0.05,"▼ 하락","― 보합")))))</f>
        <v>▲ 상승</v>
      </c>
      <c r="T77" s="21" t="str">
        <f aca="false">IF(AND(F77=0,G77=0),"-",IF(F77=0,"● 신규 발생",IF(G77=0,"■ 매출 중단",IF(H77&gt;=0.05,"▲ 상승",IF(H77&lt;=-0.05,"▼ 하락","― 보합")))))</f>
        <v>▼ 하락</v>
      </c>
      <c r="U77" s="48"/>
    </row>
    <row r="78" customFormat="false" ht="15" hidden="false" customHeight="false" outlineLevel="0" collapsed="false">
      <c r="A78" s="21" t="n">
        <v>70</v>
      </c>
      <c r="B78" s="19" t="s">
        <v>181</v>
      </c>
      <c r="C78" s="22" t="s">
        <v>314</v>
      </c>
      <c r="D78" s="19" t="s">
        <v>315</v>
      </c>
      <c r="E78" s="46" t="n">
        <f aca="false">'주별 매출'!D123</f>
        <v>0</v>
      </c>
      <c r="F78" s="12" t="n">
        <f aca="false">AVERAGE('월별 매출'!D123:F123)</f>
        <v>0</v>
      </c>
      <c r="G78" s="12" t="n">
        <f aca="false">AVERAGE('월별 매출'!J123:L123)</f>
        <v>5962000</v>
      </c>
      <c r="H78" s="20" t="str">
        <f aca="false">IF(F78=0,"",G78/F78-1)</f>
        <v/>
      </c>
      <c r="I78" s="12" t="n">
        <f aca="false">'월별 매출'!L123</f>
        <v>7222500</v>
      </c>
      <c r="J78" s="20" t="n">
        <f aca="false">'월별 매출'!U123</f>
        <v>-0.25</v>
      </c>
      <c r="K78" s="12" t="n">
        <f aca="false">'주별 매출'!BM123</f>
        <v>0</v>
      </c>
      <c r="L78" s="20" t="n">
        <f aca="false">IF('주별 매출'!BL123=0,"",K78/'주별 매출'!BL123-1)</f>
        <v>-1</v>
      </c>
      <c r="M78" s="12" t="n">
        <f aca="false">SUM('주별 매출'!BJ123:BM123)</f>
        <v>9148500</v>
      </c>
      <c r="N78" s="12" t="n">
        <f aca="false">SUM('주별 매출'!BF123:BI123)</f>
        <v>9630000</v>
      </c>
      <c r="O78" s="20" t="n">
        <f aca="false">IF(N78=0,"",M78/N78-1)</f>
        <v>-0.05</v>
      </c>
      <c r="P78" s="12" t="n">
        <f aca="false">'주별 매출'!M123</f>
        <v>0</v>
      </c>
      <c r="Q78" s="20" t="str">
        <f aca="false">IF(P78=0,"",K78/P78-1)</f>
        <v/>
      </c>
      <c r="R78" s="20" t="n">
        <f aca="false">IF($M$8=0,"",M78/$M$8)</f>
        <v>0.000458296250962336</v>
      </c>
      <c r="S78" s="21" t="str">
        <f aca="false">IF(AND(M78=0,N78=0),"-",IF(N78=0,"● 신규 발생",IF(M78=0,"■ 매출 중단",IF(O78&gt;=0.05,"▲ 상승",IF(O78&lt;=-0.05,"▼ 하락","― 보합")))))</f>
        <v>▼ 하락</v>
      </c>
      <c r="T78" s="21" t="str">
        <f aca="false">IF(AND(F78=0,G78=0),"-",IF(F78=0,"● 신규 발생",IF(G78=0,"■ 매출 중단",IF(H78&gt;=0.05,"▲ 상승",IF(H78&lt;=-0.05,"▼ 하락","― 보합")))))</f>
        <v>● 신규 발생</v>
      </c>
      <c r="U78" s="48"/>
    </row>
    <row r="79" customFormat="false" ht="15" hidden="false" customHeight="false" outlineLevel="0" collapsed="false">
      <c r="A79" s="21" t="n">
        <v>71</v>
      </c>
      <c r="B79" s="19" t="s">
        <v>181</v>
      </c>
      <c r="C79" s="22" t="s">
        <v>316</v>
      </c>
      <c r="D79" s="19" t="s">
        <v>317</v>
      </c>
      <c r="E79" s="46" t="n">
        <f aca="false">'주별 매출'!D48</f>
        <v>12</v>
      </c>
      <c r="F79" s="12" t="n">
        <f aca="false">AVERAGE('월별 매출'!D48:F48)</f>
        <v>10514899.6666667</v>
      </c>
      <c r="G79" s="12" t="n">
        <f aca="false">AVERAGE('월별 매출'!J48:L48)</f>
        <v>11693483</v>
      </c>
      <c r="H79" s="20" t="n">
        <f aca="false">IF(F79=0,"",G79/F79-1)</f>
        <v>0.112086978544319</v>
      </c>
      <c r="I79" s="12" t="n">
        <f aca="false">'월별 매출'!L48</f>
        <v>10009025</v>
      </c>
      <c r="J79" s="20" t="n">
        <f aca="false">'월별 매출'!U48</f>
        <v>-0.2156583171983</v>
      </c>
      <c r="K79" s="12" t="n">
        <f aca="false">'주별 매출'!BM48</f>
        <v>2314717</v>
      </c>
      <c r="L79" s="20" t="n">
        <f aca="false">IF('주별 매출'!BL48=0,"",K79/'주별 매출'!BL48-1)</f>
        <v>-0.0727802288570049</v>
      </c>
      <c r="M79" s="12" t="n">
        <f aca="false">SUM('주별 매출'!BJ48:BM48)</f>
        <v>9138482</v>
      </c>
      <c r="N79" s="12" t="n">
        <f aca="false">SUM('주별 매출'!BF48:BI48)</f>
        <v>10751302</v>
      </c>
      <c r="O79" s="20" t="n">
        <f aca="false">IF(N79=0,"",M79/N79-1)</f>
        <v>-0.150011598595221</v>
      </c>
      <c r="P79" s="12" t="n">
        <f aca="false">'주별 매출'!M48</f>
        <v>2912954</v>
      </c>
      <c r="Q79" s="20" t="n">
        <f aca="false">IF(P79=0,"",K79/P79-1)</f>
        <v>-0.205371248567605</v>
      </c>
      <c r="R79" s="20" t="n">
        <f aca="false">IF($M$8=0,"",M79/$M$8)</f>
        <v>0.000457794396905153</v>
      </c>
      <c r="S79" s="21" t="str">
        <f aca="false">IF(AND(M79=0,N79=0),"-",IF(N79=0,"● 신규 발생",IF(M79=0,"■ 매출 중단",IF(O79&gt;=0.05,"▲ 상승",IF(O79&lt;=-0.05,"▼ 하락","― 보합")))))</f>
        <v>▼ 하락</v>
      </c>
      <c r="T79" s="21" t="str">
        <f aca="false">IF(AND(F79=0,G79=0),"-",IF(F79=0,"● 신규 발생",IF(G79=0,"■ 매출 중단",IF(H79&gt;=0.05,"▲ 상승",IF(H79&lt;=-0.05,"▼ 하락","― 보합")))))</f>
        <v>▲ 상승</v>
      </c>
      <c r="U79" s="48"/>
    </row>
    <row r="80" customFormat="false" ht="15" hidden="false" customHeight="false" outlineLevel="0" collapsed="false">
      <c r="A80" s="21" t="n">
        <v>72</v>
      </c>
      <c r="B80" s="19" t="s">
        <v>183</v>
      </c>
      <c r="C80" s="22" t="s">
        <v>318</v>
      </c>
      <c r="D80" s="19" t="s">
        <v>319</v>
      </c>
      <c r="E80" s="46" t="n">
        <f aca="false">'주별 매출'!D8</f>
        <v>12</v>
      </c>
      <c r="F80" s="12" t="n">
        <f aca="false">AVERAGE('월별 매출'!D8:F8)</f>
        <v>8283373.33333333</v>
      </c>
      <c r="G80" s="12" t="n">
        <f aca="false">AVERAGE('월별 매출'!J8:L8)</f>
        <v>10338548.6666667</v>
      </c>
      <c r="H80" s="20" t="n">
        <f aca="false">IF(F80=0,"",G80/F80-1)</f>
        <v>0.248108500079678</v>
      </c>
      <c r="I80" s="12" t="n">
        <f aca="false">'월별 매출'!L8</f>
        <v>11103634</v>
      </c>
      <c r="J80" s="20" t="n">
        <f aca="false">'월별 매출'!U8</f>
        <v>0.119231067749781</v>
      </c>
      <c r="K80" s="12" t="n">
        <f aca="false">'주별 매출'!BM8</f>
        <v>2099112</v>
      </c>
      <c r="L80" s="20" t="n">
        <f aca="false">IF('주별 매출'!BL8=0,"",K80/'주별 매출'!BL8-1)</f>
        <v>0.0827040677378623</v>
      </c>
      <c r="M80" s="12" t="n">
        <f aca="false">SUM('주별 매출'!BJ8:BM8)</f>
        <v>8509712</v>
      </c>
      <c r="N80" s="12" t="n">
        <f aca="false">SUM('주별 매출'!BF8:BI8)</f>
        <v>10233374</v>
      </c>
      <c r="O80" s="20" t="n">
        <f aca="false">IF(N80=0,"",M80/N80-1)</f>
        <v>-0.1684353567064</v>
      </c>
      <c r="P80" s="12" t="n">
        <f aca="false">'주별 매출'!M8</f>
        <v>0</v>
      </c>
      <c r="Q80" s="20" t="str">
        <f aca="false">IF(P80=0,"",K80/P80-1)</f>
        <v/>
      </c>
      <c r="R80" s="20" t="n">
        <f aca="false">IF($M$8=0,"",M80/$M$8)</f>
        <v>0.000426296016436487</v>
      </c>
      <c r="S80" s="21" t="str">
        <f aca="false">IF(AND(M80=0,N80=0),"-",IF(N80=0,"● 신규 발생",IF(M80=0,"■ 매출 중단",IF(O80&gt;=0.05,"▲ 상승",IF(O80&lt;=-0.05,"▼ 하락","― 보합")))))</f>
        <v>▼ 하락</v>
      </c>
      <c r="T80" s="21" t="str">
        <f aca="false">IF(AND(F80=0,G80=0),"-",IF(F80=0,"● 신규 발생",IF(G80=0,"■ 매출 중단",IF(H80&gt;=0.05,"▲ 상승",IF(H80&lt;=-0.05,"▼ 하락","― 보합")))))</f>
        <v>▲ 상승</v>
      </c>
      <c r="U80" s="48"/>
    </row>
    <row r="81" customFormat="false" ht="15" hidden="false" customHeight="false" outlineLevel="0" collapsed="false">
      <c r="A81" s="21" t="n">
        <v>73</v>
      </c>
      <c r="B81" s="19" t="s">
        <v>181</v>
      </c>
      <c r="C81" s="22" t="s">
        <v>320</v>
      </c>
      <c r="D81" s="19" t="s">
        <v>321</v>
      </c>
      <c r="E81" s="46" t="n">
        <f aca="false">'주별 매출'!D120</f>
        <v>4</v>
      </c>
      <c r="F81" s="12" t="n">
        <f aca="false">AVERAGE('월별 매출'!D120:F120)</f>
        <v>9659213.33333333</v>
      </c>
      <c r="G81" s="12" t="n">
        <f aca="false">AVERAGE('월별 매출'!J120:L120)</f>
        <v>9377163.33333333</v>
      </c>
      <c r="H81" s="20" t="n">
        <f aca="false">IF(F81=0,"",G81/F81-1)</f>
        <v>-0.0292001004912753</v>
      </c>
      <c r="I81" s="12" t="n">
        <f aca="false">'월별 매출'!L120</f>
        <v>10583122</v>
      </c>
      <c r="J81" s="20" t="n">
        <f aca="false">'월별 매출'!U120</f>
        <v>0.465791753877247</v>
      </c>
      <c r="K81" s="12" t="n">
        <f aca="false">'주별 매출'!BM120</f>
        <v>1143447</v>
      </c>
      <c r="L81" s="20" t="n">
        <f aca="false">IF('주별 매출'!BL120=0,"",K81/'주별 매출'!BL120-1)</f>
        <v>-0.288441349852299</v>
      </c>
      <c r="M81" s="12" t="n">
        <f aca="false">SUM('주별 매출'!BJ120:BM120)</f>
        <v>7521644</v>
      </c>
      <c r="N81" s="12" t="n">
        <f aca="false">SUM('주별 매출'!BF120:BI120)</f>
        <v>8625082</v>
      </c>
      <c r="O81" s="20" t="n">
        <f aca="false">IF(N81=0,"",M81/N81-1)</f>
        <v>-0.127933624283224</v>
      </c>
      <c r="P81" s="12" t="n">
        <f aca="false">'주별 매출'!M120</f>
        <v>0</v>
      </c>
      <c r="Q81" s="20" t="str">
        <f aca="false">IF(P81=0,"",K81/P81-1)</f>
        <v/>
      </c>
      <c r="R81" s="20" t="n">
        <f aca="false">IF($M$8=0,"",M81/$M$8)</f>
        <v>0.000376798518475526</v>
      </c>
      <c r="S81" s="21" t="str">
        <f aca="false">IF(AND(M81=0,N81=0),"-",IF(N81=0,"● 신규 발생",IF(M81=0,"■ 매출 중단",IF(O81&gt;=0.05,"▲ 상승",IF(O81&lt;=-0.05,"▼ 하락","― 보합")))))</f>
        <v>▼ 하락</v>
      </c>
      <c r="T81" s="21" t="str">
        <f aca="false">IF(AND(F81=0,G81=0),"-",IF(F81=0,"● 신규 발생",IF(G81=0,"■ 매출 중단",IF(H81&gt;=0.05,"▲ 상승",IF(H81&lt;=-0.05,"▼ 하락","― 보합")))))</f>
        <v>― 보합</v>
      </c>
      <c r="U81" s="48"/>
    </row>
    <row r="82" customFormat="false" ht="15" hidden="false" customHeight="false" outlineLevel="0" collapsed="false">
      <c r="A82" s="21" t="n">
        <v>74</v>
      </c>
      <c r="B82" s="19" t="s">
        <v>183</v>
      </c>
      <c r="C82" s="22" t="s">
        <v>322</v>
      </c>
      <c r="D82" s="19" t="s">
        <v>323</v>
      </c>
      <c r="E82" s="46" t="n">
        <f aca="false">'주별 매출'!D26</f>
        <v>14</v>
      </c>
      <c r="F82" s="12" t="n">
        <f aca="false">AVERAGE('월별 매출'!D26:F26)</f>
        <v>0</v>
      </c>
      <c r="G82" s="12" t="n">
        <f aca="false">AVERAGE('월별 매출'!J26:L26)</f>
        <v>1438701.33333333</v>
      </c>
      <c r="H82" s="20" t="str">
        <f aca="false">IF(F82=0,"",G82/F82-1)</f>
        <v/>
      </c>
      <c r="I82" s="12" t="n">
        <f aca="false">'월별 매출'!L26</f>
        <v>4316104</v>
      </c>
      <c r="J82" s="20" t="str">
        <f aca="false">'월별 매출'!U26</f>
        <v/>
      </c>
      <c r="K82" s="12" t="n">
        <f aca="false">'주별 매출'!BM26</f>
        <v>2007119</v>
      </c>
      <c r="L82" s="20" t="n">
        <f aca="false">IF('주별 매출'!BL26=0,"",K82/'주별 매출'!BL26-1)</f>
        <v>0.311904220329323</v>
      </c>
      <c r="M82" s="12" t="n">
        <f aca="false">SUM('주별 매출'!BJ26:BM26)</f>
        <v>7440015</v>
      </c>
      <c r="N82" s="12" t="n">
        <f aca="false">SUM('주별 매출'!BF26:BI26)</f>
        <v>1519364</v>
      </c>
      <c r="O82" s="20" t="n">
        <f aca="false">IF(N82=0,"",M82/N82-1)</f>
        <v>3.89679563290956</v>
      </c>
      <c r="P82" s="12" t="n">
        <f aca="false">'주별 매출'!M26</f>
        <v>0</v>
      </c>
      <c r="Q82" s="20" t="str">
        <f aca="false">IF(P82=0,"",K82/P82-1)</f>
        <v/>
      </c>
      <c r="R82" s="20" t="n">
        <f aca="false">IF($M$8=0,"",M82/$M$8)</f>
        <v>0.000372709294595129</v>
      </c>
      <c r="S82" s="21" t="str">
        <f aca="false">IF(AND(M82=0,N82=0),"-",IF(N82=0,"● 신규 발생",IF(M82=0,"■ 매출 중단",IF(O82&gt;=0.05,"▲ 상승",IF(O82&lt;=-0.05,"▼ 하락","― 보합")))))</f>
        <v>▲ 상승</v>
      </c>
      <c r="T82" s="21" t="str">
        <f aca="false">IF(AND(F82=0,G82=0),"-",IF(F82=0,"● 신규 발생",IF(G82=0,"■ 매출 중단",IF(H82&gt;=0.05,"▲ 상승",IF(H82&lt;=-0.05,"▼ 하락","― 보합")))))</f>
        <v>● 신규 발생</v>
      </c>
      <c r="U82" s="48"/>
    </row>
    <row r="83" customFormat="false" ht="15" hidden="false" customHeight="false" outlineLevel="0" collapsed="false">
      <c r="A83" s="21" t="n">
        <v>75</v>
      </c>
      <c r="B83" s="19" t="s">
        <v>183</v>
      </c>
      <c r="C83" s="22" t="s">
        <v>324</v>
      </c>
      <c r="D83" s="19" t="s">
        <v>325</v>
      </c>
      <c r="E83" s="46" t="n">
        <f aca="false">'주별 매출'!D12</f>
        <v>10</v>
      </c>
      <c r="F83" s="12" t="n">
        <f aca="false">AVERAGE('월별 매출'!D12:F12)</f>
        <v>4693549.33333333</v>
      </c>
      <c r="G83" s="12" t="n">
        <f aca="false">AVERAGE('월별 매출'!J12:L12)</f>
        <v>8826945</v>
      </c>
      <c r="H83" s="20" t="n">
        <f aca="false">IF(F83=0,"",G83/F83-1)</f>
        <v>0.880654569306754</v>
      </c>
      <c r="I83" s="12" t="n">
        <f aca="false">'월별 매출'!L12</f>
        <v>6625365</v>
      </c>
      <c r="J83" s="20" t="n">
        <f aca="false">'월별 매출'!U12</f>
        <v>-0.246928746789109</v>
      </c>
      <c r="K83" s="12" t="n">
        <f aca="false">'주별 매출'!BM12</f>
        <v>2490888</v>
      </c>
      <c r="L83" s="20" t="n">
        <f aca="false">IF('주별 매출'!BL12=0,"",K83/'주별 매출'!BL12-1)</f>
        <v>1.46517133265772</v>
      </c>
      <c r="M83" s="12" t="n">
        <f aca="false">SUM('주별 매출'!BJ12:BM12)</f>
        <v>6438623</v>
      </c>
      <c r="N83" s="12" t="n">
        <f aca="false">SUM('주별 매출'!BF12:BI12)</f>
        <v>6290169</v>
      </c>
      <c r="O83" s="20" t="n">
        <f aca="false">IF(N83=0,"",M83/N83-1)</f>
        <v>0.0236009557135906</v>
      </c>
      <c r="P83" s="12" t="n">
        <f aca="false">'주별 매출'!M12</f>
        <v>0</v>
      </c>
      <c r="Q83" s="20" t="str">
        <f aca="false">IF(P83=0,"",K83/P83-1)</f>
        <v/>
      </c>
      <c r="R83" s="20" t="n">
        <f aca="false">IF($M$8=0,"",M83/$M$8)</f>
        <v>0.000322544327732401</v>
      </c>
      <c r="S83" s="21" t="str">
        <f aca="false">IF(AND(M83=0,N83=0),"-",IF(N83=0,"● 신규 발생",IF(M83=0,"■ 매출 중단",IF(O83&gt;=0.05,"▲ 상승",IF(O83&lt;=-0.05,"▼ 하락","― 보합")))))</f>
        <v>― 보합</v>
      </c>
      <c r="T83" s="21" t="str">
        <f aca="false">IF(AND(F83=0,G83=0),"-",IF(F83=0,"● 신규 발생",IF(G83=0,"■ 매출 중단",IF(H83&gt;=0.05,"▲ 상승",IF(H83&lt;=-0.05,"▼ 하락","― 보합")))))</f>
        <v>▲ 상승</v>
      </c>
      <c r="U83" s="48"/>
    </row>
    <row r="84" customFormat="false" ht="15" hidden="false" customHeight="false" outlineLevel="0" collapsed="false">
      <c r="A84" s="21" t="n">
        <v>76</v>
      </c>
      <c r="B84" s="19" t="s">
        <v>181</v>
      </c>
      <c r="C84" s="22" t="s">
        <v>326</v>
      </c>
      <c r="D84" s="19" t="s">
        <v>327</v>
      </c>
      <c r="E84" s="46" t="n">
        <f aca="false">'주별 매출'!D103</f>
        <v>2</v>
      </c>
      <c r="F84" s="12" t="n">
        <f aca="false">AVERAGE('월별 매출'!D103:F103)</f>
        <v>5239122.66666667</v>
      </c>
      <c r="G84" s="12" t="n">
        <f aca="false">AVERAGE('월별 매출'!J103:L103)</f>
        <v>4950230</v>
      </c>
      <c r="H84" s="20" t="n">
        <f aca="false">IF(F84=0,"",G84/F84-1)</f>
        <v>-0.0551414206246237</v>
      </c>
      <c r="I84" s="12" t="n">
        <f aca="false">'월별 매출'!L103</f>
        <v>7218430</v>
      </c>
      <c r="J84" s="20" t="n">
        <f aca="false">'월별 매출'!U103</f>
        <v>1.10787236714158</v>
      </c>
      <c r="K84" s="12" t="n">
        <f aca="false">'주별 매출'!BM103</f>
        <v>1941940</v>
      </c>
      <c r="L84" s="20" t="n">
        <f aca="false">IF('주별 매출'!BL103=0,"",K84/'주별 매출'!BL103-1)</f>
        <v>0.335437640974858</v>
      </c>
      <c r="M84" s="12" t="n">
        <f aca="false">SUM('주별 매출'!BJ103:BM103)</f>
        <v>6381280</v>
      </c>
      <c r="N84" s="12" t="n">
        <f aca="false">SUM('주별 매출'!BF103:BI103)</f>
        <v>6467310</v>
      </c>
      <c r="O84" s="20" t="n">
        <f aca="false">IF(N84=0,"",M84/N84-1)</f>
        <v>-0.013302284875783</v>
      </c>
      <c r="P84" s="12" t="n">
        <f aca="false">'주별 매출'!M103</f>
        <v>2569940</v>
      </c>
      <c r="Q84" s="20" t="n">
        <f aca="false">IF(P84=0,"",K84/P84-1)</f>
        <v>-0.244363681642373</v>
      </c>
      <c r="R84" s="20" t="n">
        <f aca="false">IF($M$8=0,"",M84/$M$8)</f>
        <v>0.000319671716712131</v>
      </c>
      <c r="S84" s="21" t="str">
        <f aca="false">IF(AND(M84=0,N84=0),"-",IF(N84=0,"● 신규 발생",IF(M84=0,"■ 매출 중단",IF(O84&gt;=0.05,"▲ 상승",IF(O84&lt;=-0.05,"▼ 하락","― 보합")))))</f>
        <v>― 보합</v>
      </c>
      <c r="T84" s="21" t="str">
        <f aca="false">IF(AND(F84=0,G84=0),"-",IF(F84=0,"● 신규 발생",IF(G84=0,"■ 매출 중단",IF(H84&gt;=0.05,"▲ 상승",IF(H84&lt;=-0.05,"▼ 하락","― 보합")))))</f>
        <v>▼ 하락</v>
      </c>
      <c r="U84" s="48"/>
    </row>
    <row r="85" customFormat="false" ht="15" hidden="false" customHeight="false" outlineLevel="0" collapsed="false">
      <c r="A85" s="21" t="n">
        <v>77</v>
      </c>
      <c r="B85" s="19" t="s">
        <v>181</v>
      </c>
      <c r="C85" s="22" t="s">
        <v>328</v>
      </c>
      <c r="D85" s="19" t="s">
        <v>329</v>
      </c>
      <c r="E85" s="46" t="n">
        <f aca="false">'주별 매출'!D55</f>
        <v>7</v>
      </c>
      <c r="F85" s="12" t="n">
        <f aca="false">AVERAGE('월별 매출'!D55:F55)</f>
        <v>14832555.3333333</v>
      </c>
      <c r="G85" s="12" t="n">
        <f aca="false">AVERAGE('월별 매출'!J55:L55)</f>
        <v>8274343.33333333</v>
      </c>
      <c r="H85" s="20" t="n">
        <f aca="false">IF(F85=0,"",G85/F85-1)</f>
        <v>-0.442149842196218</v>
      </c>
      <c r="I85" s="12" t="n">
        <f aca="false">'월별 매출'!L55</f>
        <v>8154426</v>
      </c>
      <c r="J85" s="20" t="n">
        <f aca="false">'월별 매출'!U55</f>
        <v>0.193714136648974</v>
      </c>
      <c r="K85" s="12" t="n">
        <f aca="false">'주별 매출'!BM55</f>
        <v>1920727</v>
      </c>
      <c r="L85" s="20" t="n">
        <f aca="false">IF('주별 매출'!BL55=0,"",K85/'주별 매출'!BL55-1)</f>
        <v>0.139209746995434</v>
      </c>
      <c r="M85" s="12" t="n">
        <f aca="false">SUM('주별 매출'!BJ55:BM55)</f>
        <v>6341728</v>
      </c>
      <c r="N85" s="12" t="n">
        <f aca="false">SUM('주별 매출'!BF55:BI55)</f>
        <v>7816665</v>
      </c>
      <c r="O85" s="20" t="n">
        <f aca="false">IF(N85=0,"",M85/N85-1)</f>
        <v>-0.188691340872354</v>
      </c>
      <c r="P85" s="12" t="n">
        <f aca="false">'주별 매출'!M55</f>
        <v>0</v>
      </c>
      <c r="Q85" s="20" t="str">
        <f aca="false">IF(P85=0,"",K85/P85-1)</f>
        <v/>
      </c>
      <c r="R85" s="20" t="n">
        <f aca="false">IF($M$8=0,"",M85/$M$8)</f>
        <v>0.000317690350005233</v>
      </c>
      <c r="S85" s="21" t="str">
        <f aca="false">IF(AND(M85=0,N85=0),"-",IF(N85=0,"● 신규 발생",IF(M85=0,"■ 매출 중단",IF(O85&gt;=0.05,"▲ 상승",IF(O85&lt;=-0.05,"▼ 하락","― 보합")))))</f>
        <v>▼ 하락</v>
      </c>
      <c r="T85" s="21" t="str">
        <f aca="false">IF(AND(F85=0,G85=0),"-",IF(F85=0,"● 신규 발생",IF(G85=0,"■ 매출 중단",IF(H85&gt;=0.05,"▲ 상승",IF(H85&lt;=-0.05,"▼ 하락","― 보합")))))</f>
        <v>▼ 하락</v>
      </c>
      <c r="U85" s="48"/>
    </row>
    <row r="86" customFormat="false" ht="15" hidden="false" customHeight="false" outlineLevel="0" collapsed="false">
      <c r="A86" s="21" t="n">
        <v>78</v>
      </c>
      <c r="B86" s="19" t="s">
        <v>181</v>
      </c>
      <c r="C86" s="22" t="s">
        <v>330</v>
      </c>
      <c r="D86" s="19" t="s">
        <v>331</v>
      </c>
      <c r="E86" s="46" t="n">
        <f aca="false">'주별 매출'!D104</f>
        <v>7</v>
      </c>
      <c r="F86" s="12" t="n">
        <f aca="false">AVERAGE('월별 매출'!D104:F104)</f>
        <v>6290173.33333333</v>
      </c>
      <c r="G86" s="12" t="n">
        <f aca="false">AVERAGE('월별 매출'!J104:L104)</f>
        <v>9138550</v>
      </c>
      <c r="H86" s="20" t="n">
        <f aca="false">IF(F86=0,"",G86/F86-1)</f>
        <v>0.452829598760395</v>
      </c>
      <c r="I86" s="12" t="n">
        <f aca="false">'월별 매출'!L104</f>
        <v>6103160</v>
      </c>
      <c r="J86" s="20" t="n">
        <f aca="false">'월별 매출'!U104</f>
        <v>-0.367960813147893</v>
      </c>
      <c r="K86" s="12" t="n">
        <f aca="false">'주별 매출'!BM104</f>
        <v>1772410</v>
      </c>
      <c r="L86" s="20" t="n">
        <f aca="false">IF('주별 매출'!BL104=0,"",K86/'주별 매출'!BL104-1)</f>
        <v>2.70370912130394</v>
      </c>
      <c r="M86" s="12" t="n">
        <f aca="false">SUM('주별 매출'!BJ104:BM104)</f>
        <v>4869680</v>
      </c>
      <c r="N86" s="12" t="n">
        <f aca="false">SUM('주별 매출'!BF104:BI104)</f>
        <v>5996500</v>
      </c>
      <c r="O86" s="20" t="n">
        <f aca="false">IF(N86=0,"",M86/N86-1)</f>
        <v>-0.187912949220379</v>
      </c>
      <c r="P86" s="12" t="n">
        <f aca="false">'주별 매출'!M104</f>
        <v>1264850</v>
      </c>
      <c r="Q86" s="20" t="n">
        <f aca="false">IF(P86=0,"",K86/P86-1)</f>
        <v>0.401280784282721</v>
      </c>
      <c r="R86" s="20" t="n">
        <f aca="false">IF($M$8=0,"",M86/$M$8)</f>
        <v>0.000243947760549409</v>
      </c>
      <c r="S86" s="21" t="str">
        <f aca="false">IF(AND(M86=0,N86=0),"-",IF(N86=0,"● 신규 발생",IF(M86=0,"■ 매출 중단",IF(O86&gt;=0.05,"▲ 상승",IF(O86&lt;=-0.05,"▼ 하락","― 보합")))))</f>
        <v>▼ 하락</v>
      </c>
      <c r="T86" s="21" t="str">
        <f aca="false">IF(AND(F86=0,G86=0),"-",IF(F86=0,"● 신규 발생",IF(G86=0,"■ 매출 중단",IF(H86&gt;=0.05,"▲ 상승",IF(H86&lt;=-0.05,"▼ 하락","― 보합")))))</f>
        <v>▲ 상승</v>
      </c>
      <c r="U86" s="48"/>
    </row>
    <row r="87" customFormat="false" ht="15" hidden="false" customHeight="false" outlineLevel="0" collapsed="false">
      <c r="A87" s="21" t="n">
        <v>79</v>
      </c>
      <c r="B87" s="19" t="s">
        <v>181</v>
      </c>
      <c r="C87" s="22" t="s">
        <v>332</v>
      </c>
      <c r="D87" s="19" t="s">
        <v>333</v>
      </c>
      <c r="E87" s="46" t="n">
        <f aca="false">'주별 매출'!D58</f>
        <v>1</v>
      </c>
      <c r="F87" s="12" t="n">
        <f aca="false">AVERAGE('월별 매출'!D58:F58)</f>
        <v>12429650</v>
      </c>
      <c r="G87" s="12" t="n">
        <f aca="false">AVERAGE('월별 매출'!J58:L58)</f>
        <v>6808554.66666667</v>
      </c>
      <c r="H87" s="20" t="n">
        <f aca="false">IF(F87=0,"",G87/F87-1)</f>
        <v>-0.452232792824684</v>
      </c>
      <c r="I87" s="12" t="n">
        <f aca="false">'월별 매출'!L58</f>
        <v>6400713</v>
      </c>
      <c r="J87" s="20" t="n">
        <f aca="false">'월별 매출'!U58</f>
        <v>-0.166533131500562</v>
      </c>
      <c r="K87" s="12" t="n">
        <f aca="false">'주별 매출'!BM58</f>
        <v>140000</v>
      </c>
      <c r="L87" s="20" t="n">
        <f aca="false">IF('주별 매출'!BL58=0,"",K87/'주별 매출'!BL58-1)</f>
        <v>-0.86774985830342</v>
      </c>
      <c r="M87" s="12" t="n">
        <f aca="false">SUM('주별 매출'!BJ58:BM58)</f>
        <v>4165290</v>
      </c>
      <c r="N87" s="12" t="n">
        <f aca="false">SUM('주별 매출'!BF58:BI58)</f>
        <v>6784503</v>
      </c>
      <c r="O87" s="20" t="n">
        <f aca="false">IF(N87=0,"",M87/N87-1)</f>
        <v>-0.386058197630689</v>
      </c>
      <c r="P87" s="12" t="n">
        <f aca="false">'주별 매출'!M58</f>
        <v>0</v>
      </c>
      <c r="Q87" s="20" t="str">
        <f aca="false">IF(P87=0,"",K87/P87-1)</f>
        <v/>
      </c>
      <c r="R87" s="20" t="n">
        <f aca="false">IF($M$8=0,"",M87/$M$8)</f>
        <v>0.000208661178463235</v>
      </c>
      <c r="S87" s="21" t="str">
        <f aca="false">IF(AND(M87=0,N87=0),"-",IF(N87=0,"● 신규 발생",IF(M87=0,"■ 매출 중단",IF(O87&gt;=0.05,"▲ 상승",IF(O87&lt;=-0.05,"▼ 하락","― 보합")))))</f>
        <v>▼ 하락</v>
      </c>
      <c r="T87" s="21" t="str">
        <f aca="false">IF(AND(F87=0,G87=0),"-",IF(F87=0,"● 신규 발생",IF(G87=0,"■ 매출 중단",IF(H87&gt;=0.05,"▲ 상승",IF(H87&lt;=-0.05,"▼ 하락","― 보합")))))</f>
        <v>▼ 하락</v>
      </c>
      <c r="U87" s="48"/>
    </row>
    <row r="88" customFormat="false" ht="15" hidden="false" customHeight="false" outlineLevel="0" collapsed="false">
      <c r="A88" s="21" t="n">
        <v>80</v>
      </c>
      <c r="B88" s="19" t="s">
        <v>183</v>
      </c>
      <c r="C88" s="22" t="s">
        <v>334</v>
      </c>
      <c r="D88" s="19" t="s">
        <v>335</v>
      </c>
      <c r="E88" s="46" t="n">
        <f aca="false">'주별 매출'!D9</f>
        <v>3</v>
      </c>
      <c r="F88" s="12" t="n">
        <f aca="false">AVERAGE('월별 매출'!D9:F9)</f>
        <v>32090675.3333333</v>
      </c>
      <c r="G88" s="12" t="n">
        <f aca="false">AVERAGE('월별 매출'!J9:L9)</f>
        <v>12630026.6666667</v>
      </c>
      <c r="H88" s="20" t="n">
        <f aca="false">IF(F88=0,"",G88/F88-1)</f>
        <v>-0.606426897051071</v>
      </c>
      <c r="I88" s="12" t="n">
        <f aca="false">'월별 매출'!L9</f>
        <v>4770075</v>
      </c>
      <c r="J88" s="20" t="n">
        <f aca="false">'월별 매출'!U9</f>
        <v>-0.615365231982725</v>
      </c>
      <c r="K88" s="12" t="n">
        <f aca="false">'주별 매출'!BM9</f>
        <v>586398</v>
      </c>
      <c r="L88" s="20" t="n">
        <f aca="false">IF('주별 매출'!BL9=0,"",K88/'주별 매출'!BL9-1)</f>
        <v>-0.189990883222366</v>
      </c>
      <c r="M88" s="12" t="n">
        <f aca="false">SUM('주별 매출'!BJ9:BM9)</f>
        <v>3087858</v>
      </c>
      <c r="N88" s="12" t="n">
        <f aca="false">SUM('주별 매출'!BF9:BI9)</f>
        <v>7800345</v>
      </c>
      <c r="O88" s="20" t="n">
        <f aca="false">IF(N88=0,"",M88/N88-1)</f>
        <v>-0.60413827849922</v>
      </c>
      <c r="P88" s="12" t="n">
        <f aca="false">'주별 매출'!M9</f>
        <v>0</v>
      </c>
      <c r="Q88" s="20" t="str">
        <f aca="false">IF(P88=0,"",K88/P88-1)</f>
        <v/>
      </c>
      <c r="R88" s="20" t="n">
        <f aca="false">IF($M$8=0,"",M88/$M$8)</f>
        <v>0.000154686969984594</v>
      </c>
      <c r="S88" s="21" t="str">
        <f aca="false">IF(AND(M88=0,N88=0),"-",IF(N88=0,"● 신규 발생",IF(M88=0,"■ 매출 중단",IF(O88&gt;=0.05,"▲ 상승",IF(O88&lt;=-0.05,"▼ 하락","― 보합")))))</f>
        <v>▼ 하락</v>
      </c>
      <c r="T88" s="21" t="str">
        <f aca="false">IF(AND(F88=0,G88=0),"-",IF(F88=0,"● 신규 발생",IF(G88=0,"■ 매출 중단",IF(H88&gt;=0.05,"▲ 상승",IF(H88&lt;=-0.05,"▼ 하락","― 보합")))))</f>
        <v>▼ 하락</v>
      </c>
      <c r="U88" s="48"/>
    </row>
    <row r="89" customFormat="false" ht="15" hidden="false" customHeight="false" outlineLevel="0" collapsed="false">
      <c r="A89" s="21" t="n">
        <v>81</v>
      </c>
      <c r="B89" s="19" t="s">
        <v>181</v>
      </c>
      <c r="C89" s="22" t="s">
        <v>336</v>
      </c>
      <c r="D89" s="19" t="s">
        <v>337</v>
      </c>
      <c r="E89" s="46" t="n">
        <f aca="false">'주별 매출'!D52</f>
        <v>4</v>
      </c>
      <c r="F89" s="12" t="n">
        <f aca="false">AVERAGE('월별 매출'!D52:F52)</f>
        <v>10785163.3333333</v>
      </c>
      <c r="G89" s="12" t="n">
        <f aca="false">AVERAGE('월별 매출'!J52:L52)</f>
        <v>4081373.66666667</v>
      </c>
      <c r="H89" s="20" t="n">
        <f aca="false">IF(F89=0,"",G89/F89-1)</f>
        <v>-0.621575163905724</v>
      </c>
      <c r="I89" s="12" t="n">
        <f aca="false">'월별 매출'!L52</f>
        <v>2931829</v>
      </c>
      <c r="J89" s="20" t="n">
        <f aca="false">'월별 매출'!U52</f>
        <v>-0.299789494701304</v>
      </c>
      <c r="K89" s="12" t="n">
        <f aca="false">'주별 매출'!BM52</f>
        <v>723772</v>
      </c>
      <c r="L89" s="20" t="n">
        <f aca="false">IF('주별 매출'!BL52=0,"",K89/'주별 매출'!BL52-1)</f>
        <v>0.819601572791907</v>
      </c>
      <c r="M89" s="12" t="n">
        <f aca="false">SUM('주별 매출'!BJ52:BM52)</f>
        <v>2496399</v>
      </c>
      <c r="N89" s="12" t="n">
        <f aca="false">SUM('주별 매출'!BF52:BI52)</f>
        <v>3278680</v>
      </c>
      <c r="O89" s="20" t="n">
        <f aca="false">IF(N89=0,"",M89/N89-1)</f>
        <v>-0.238596325350446</v>
      </c>
      <c r="P89" s="12" t="n">
        <f aca="false">'주별 매출'!M52</f>
        <v>4510506</v>
      </c>
      <c r="Q89" s="20" t="n">
        <f aca="false">IF(P89=0,"",K89/P89-1)</f>
        <v>-0.839536406780082</v>
      </c>
      <c r="R89" s="20" t="n">
        <f aca="false">IF($M$8=0,"",M89/$M$8)</f>
        <v>0.000125057692802768</v>
      </c>
      <c r="S89" s="21" t="str">
        <f aca="false">IF(AND(M89=0,N89=0),"-",IF(N89=0,"● 신규 발생",IF(M89=0,"■ 매출 중단",IF(O89&gt;=0.05,"▲ 상승",IF(O89&lt;=-0.05,"▼ 하락","― 보합")))))</f>
        <v>▼ 하락</v>
      </c>
      <c r="T89" s="21" t="str">
        <f aca="false">IF(AND(F89=0,G89=0),"-",IF(F89=0,"● 신규 발생",IF(G89=0,"■ 매출 중단",IF(H89&gt;=0.05,"▲ 상승",IF(H89&lt;=-0.05,"▼ 하락","― 보합")))))</f>
        <v>▼ 하락</v>
      </c>
      <c r="U89" s="48" t="s">
        <v>212</v>
      </c>
    </row>
    <row r="90" customFormat="false" ht="15" hidden="false" customHeight="false" outlineLevel="0" collapsed="false">
      <c r="A90" s="21" t="n">
        <v>82</v>
      </c>
      <c r="B90" s="19" t="s">
        <v>181</v>
      </c>
      <c r="C90" s="22" t="s">
        <v>338</v>
      </c>
      <c r="D90" s="19" t="s">
        <v>339</v>
      </c>
      <c r="E90" s="46" t="n">
        <f aca="false">'주별 매출'!D87</f>
        <v>2</v>
      </c>
      <c r="F90" s="12" t="n">
        <f aca="false">AVERAGE('월별 매출'!D87:F87)</f>
        <v>2716949.66666667</v>
      </c>
      <c r="G90" s="12" t="n">
        <f aca="false">AVERAGE('월별 매출'!J87:L87)</f>
        <v>2712271</v>
      </c>
      <c r="H90" s="20" t="n">
        <f aca="false">IF(F90=0,"",G90/F90-1)</f>
        <v>-0.00172202920211129</v>
      </c>
      <c r="I90" s="12" t="n">
        <f aca="false">'월별 매출'!L87</f>
        <v>2736968</v>
      </c>
      <c r="J90" s="20" t="n">
        <f aca="false">'월별 매출'!U87</f>
        <v>0.127193099866687</v>
      </c>
      <c r="K90" s="12" t="n">
        <f aca="false">'주별 매출'!BM87</f>
        <v>751382</v>
      </c>
      <c r="L90" s="20" t="n">
        <f aca="false">IF('주별 매출'!BL87=0,"",K90/'주별 매출'!BL87-1)</f>
        <v>-0.10311125434937</v>
      </c>
      <c r="M90" s="12" t="n">
        <f aca="false">SUM('주별 매출'!BJ87:BM87)</f>
        <v>2489494</v>
      </c>
      <c r="N90" s="12" t="n">
        <f aca="false">SUM('주별 매출'!BF87:BI87)</f>
        <v>2948153</v>
      </c>
      <c r="O90" s="20" t="n">
        <f aca="false">IF(N90=0,"",M90/N90-1)</f>
        <v>-0.155575032910436</v>
      </c>
      <c r="P90" s="12" t="n">
        <f aca="false">'주별 매출'!M87</f>
        <v>1106136</v>
      </c>
      <c r="Q90" s="20" t="n">
        <f aca="false">IF(P90=0,"",K90/P90-1)</f>
        <v>-0.320714631835507</v>
      </c>
      <c r="R90" s="20" t="n">
        <f aca="false">IF($M$8=0,"",M90/$M$8)</f>
        <v>0.00012471178520995</v>
      </c>
      <c r="S90" s="21" t="str">
        <f aca="false">IF(AND(M90=0,N90=0),"-",IF(N90=0,"● 신규 발생",IF(M90=0,"■ 매출 중단",IF(O90&gt;=0.05,"▲ 상승",IF(O90&lt;=-0.05,"▼ 하락","― 보합")))))</f>
        <v>▼ 하락</v>
      </c>
      <c r="T90" s="21" t="str">
        <f aca="false">IF(AND(F90=0,G90=0),"-",IF(F90=0,"● 신규 발생",IF(G90=0,"■ 매출 중단",IF(H90&gt;=0.05,"▲ 상승",IF(H90&lt;=-0.05,"▼ 하락","― 보합")))))</f>
        <v>― 보합</v>
      </c>
      <c r="U90" s="48"/>
    </row>
    <row r="91" customFormat="false" ht="15" hidden="false" customHeight="false" outlineLevel="0" collapsed="false">
      <c r="A91" s="21" t="n">
        <v>83</v>
      </c>
      <c r="B91" s="19" t="s">
        <v>181</v>
      </c>
      <c r="C91" s="22" t="s">
        <v>340</v>
      </c>
      <c r="D91" s="19" t="s">
        <v>341</v>
      </c>
      <c r="E91" s="46" t="n">
        <f aca="false">'주별 매출'!D59</f>
        <v>4</v>
      </c>
      <c r="F91" s="12" t="n">
        <f aca="false">AVERAGE('월별 매출'!D59:F59)</f>
        <v>19258592.6666667</v>
      </c>
      <c r="G91" s="12" t="n">
        <f aca="false">AVERAGE('월별 매출'!J59:L59)</f>
        <v>4436362.33333333</v>
      </c>
      <c r="H91" s="20" t="n">
        <f aca="false">IF(F91=0,"",G91/F91-1)</f>
        <v>-0.769642444278293</v>
      </c>
      <c r="I91" s="12" t="n">
        <f aca="false">'월별 매출'!L59</f>
        <v>4859088</v>
      </c>
      <c r="J91" s="20" t="n">
        <f aca="false">'월별 매출'!U59</f>
        <v>0.78463952330163</v>
      </c>
      <c r="K91" s="12" t="n">
        <f aca="false">'주별 매출'!BM59</f>
        <v>984546</v>
      </c>
      <c r="L91" s="20" t="n">
        <f aca="false">IF('주별 매출'!BL59=0,"",K91/'주별 매출'!BL59-1)</f>
        <v>7.33076102959842</v>
      </c>
      <c r="M91" s="12" t="n">
        <f aca="false">SUM('주별 매출'!BJ59:BM59)</f>
        <v>2407272</v>
      </c>
      <c r="N91" s="12" t="n">
        <f aca="false">SUM('주별 매출'!BF59:BI59)</f>
        <v>4859088</v>
      </c>
      <c r="O91" s="20" t="n">
        <f aca="false">IF(N91=0,"",M91/N91-1)</f>
        <v>-0.504583576177258</v>
      </c>
      <c r="P91" s="12" t="n">
        <f aca="false">'주별 매출'!M59</f>
        <v>4979589</v>
      </c>
      <c r="Q91" s="20" t="n">
        <f aca="false">IF(P91=0,"",K91/P91-1)</f>
        <v>-0.802283682448491</v>
      </c>
      <c r="R91" s="20" t="n">
        <f aca="false">IF($M$8=0,"",M91/$M$8)</f>
        <v>0.000120592854855616</v>
      </c>
      <c r="S91" s="21" t="str">
        <f aca="false">IF(AND(M91=0,N91=0),"-",IF(N91=0,"● 신규 발생",IF(M91=0,"■ 매출 중단",IF(O91&gt;=0.05,"▲ 상승",IF(O91&lt;=-0.05,"▼ 하락","― 보합")))))</f>
        <v>▼ 하락</v>
      </c>
      <c r="T91" s="21" t="str">
        <f aca="false">IF(AND(F91=0,G91=0),"-",IF(F91=0,"● 신규 발생",IF(G91=0,"■ 매출 중단",IF(H91&gt;=0.05,"▲ 상승",IF(H91&lt;=-0.05,"▼ 하락","― 보합")))))</f>
        <v>▼ 하락</v>
      </c>
      <c r="U91" s="48"/>
    </row>
    <row r="92" customFormat="false" ht="15" hidden="false" customHeight="false" outlineLevel="0" collapsed="false">
      <c r="A92" s="21" t="n">
        <v>84</v>
      </c>
      <c r="B92" s="19" t="s">
        <v>181</v>
      </c>
      <c r="C92" s="22" t="s">
        <v>342</v>
      </c>
      <c r="D92" s="19" t="s">
        <v>343</v>
      </c>
      <c r="E92" s="46" t="n">
        <f aca="false">'주별 매출'!D108</f>
        <v>1</v>
      </c>
      <c r="F92" s="12" t="n">
        <f aca="false">AVERAGE('월별 매출'!D108:F108)</f>
        <v>3703363.33333333</v>
      </c>
      <c r="G92" s="12" t="n">
        <f aca="false">AVERAGE('월별 매출'!J108:L108)</f>
        <v>3120847.66666667</v>
      </c>
      <c r="H92" s="20" t="n">
        <f aca="false">IF(F92=0,"",G92/F92-1)</f>
        <v>-0.157293685289678</v>
      </c>
      <c r="I92" s="12" t="n">
        <f aca="false">'월별 매출'!L108</f>
        <v>2043536</v>
      </c>
      <c r="J92" s="20" t="n">
        <f aca="false">'월별 매출'!U108</f>
        <v>-0.507776796908213</v>
      </c>
      <c r="K92" s="12" t="n">
        <f aca="false">'주별 매출'!BM108</f>
        <v>651869</v>
      </c>
      <c r="L92" s="20" t="n">
        <f aca="false">IF('주별 매출'!BL108=0,"",K92/'주별 매출'!BL108-1)</f>
        <v>0.427086822408014</v>
      </c>
      <c r="M92" s="12" t="n">
        <f aca="false">SUM('주별 매출'!BJ108:BM108)</f>
        <v>2206316</v>
      </c>
      <c r="N92" s="12" t="n">
        <f aca="false">SUM('주별 매출'!BF108:BI108)</f>
        <v>2652027</v>
      </c>
      <c r="O92" s="20" t="n">
        <f aca="false">IF(N92=0,"",M92/N92-1)</f>
        <v>-0.168064276871993</v>
      </c>
      <c r="P92" s="12" t="n">
        <f aca="false">'주별 매출'!M108</f>
        <v>0</v>
      </c>
      <c r="Q92" s="20" t="str">
        <f aca="false">IF(P92=0,"",K92/P92-1)</f>
        <v/>
      </c>
      <c r="R92" s="20" t="n">
        <f aca="false">IF($M$8=0,"",M92/$M$8)</f>
        <v>0.000110525916952311</v>
      </c>
      <c r="S92" s="21" t="str">
        <f aca="false">IF(AND(M92=0,N92=0),"-",IF(N92=0,"● 신규 발생",IF(M92=0,"■ 매출 중단",IF(O92&gt;=0.05,"▲ 상승",IF(O92&lt;=-0.05,"▼ 하락","― 보합")))))</f>
        <v>▼ 하락</v>
      </c>
      <c r="T92" s="21" t="str">
        <f aca="false">IF(AND(F92=0,G92=0),"-",IF(F92=0,"● 신규 발생",IF(G92=0,"■ 매출 중단",IF(H92&gt;=0.05,"▲ 상승",IF(H92&lt;=-0.05,"▼ 하락","― 보합")))))</f>
        <v>▼ 하락</v>
      </c>
      <c r="U92" s="48"/>
    </row>
    <row r="93" customFormat="false" ht="15" hidden="false" customHeight="false" outlineLevel="0" collapsed="false">
      <c r="A93" s="21" t="n">
        <v>85</v>
      </c>
      <c r="B93" s="19" t="s">
        <v>181</v>
      </c>
      <c r="C93" s="22" t="s">
        <v>344</v>
      </c>
      <c r="D93" s="19" t="s">
        <v>345</v>
      </c>
      <c r="E93" s="46" t="n">
        <f aca="false">'주별 매출'!D109</f>
        <v>1</v>
      </c>
      <c r="F93" s="12" t="n">
        <f aca="false">AVERAGE('월별 매출'!D109:F109)</f>
        <v>1417326.66666667</v>
      </c>
      <c r="G93" s="12" t="n">
        <f aca="false">AVERAGE('월별 매출'!J109:L109)</f>
        <v>1251393.33333333</v>
      </c>
      <c r="H93" s="20" t="n">
        <f aca="false">IF(F93=0,"",G93/F93-1)</f>
        <v>-0.117074868649429</v>
      </c>
      <c r="I93" s="12" t="n">
        <f aca="false">'월별 매출'!L109</f>
        <v>1241040</v>
      </c>
      <c r="J93" s="20" t="n">
        <f aca="false">'월별 매출'!U109</f>
        <v>0.0765814219785559</v>
      </c>
      <c r="K93" s="12" t="n">
        <f aca="false">'주별 매출'!BM109</f>
        <v>417120</v>
      </c>
      <c r="L93" s="20" t="str">
        <f aca="false">IF('주별 매출'!BL109=0,"",K93/'주별 매출'!BL109-1)</f>
        <v/>
      </c>
      <c r="M93" s="12" t="n">
        <f aca="false">SUM('주별 매출'!BJ109:BM109)</f>
        <v>1336730</v>
      </c>
      <c r="N93" s="12" t="n">
        <f aca="false">SUM('주별 매출'!BF109:BI109)</f>
        <v>1043860</v>
      </c>
      <c r="O93" s="20" t="n">
        <f aca="false">IF(N93=0,"",M93/N93-1)</f>
        <v>0.28056444350775</v>
      </c>
      <c r="P93" s="12" t="n">
        <f aca="false">'주별 매출'!M109</f>
        <v>0</v>
      </c>
      <c r="Q93" s="20" t="str">
        <f aca="false">IF(P93=0,"",K93/P93-1)</f>
        <v/>
      </c>
      <c r="R93" s="20" t="n">
        <f aca="false">IF($M$8=0,"",M93/$M$8)</f>
        <v>6.69638025412781E-005</v>
      </c>
      <c r="S93" s="21" t="str">
        <f aca="false">IF(AND(M93=0,N93=0),"-",IF(N93=0,"● 신규 발생",IF(M93=0,"■ 매출 중단",IF(O93&gt;=0.05,"▲ 상승",IF(O93&lt;=-0.05,"▼ 하락","― 보합")))))</f>
        <v>▲ 상승</v>
      </c>
      <c r="T93" s="21" t="str">
        <f aca="false">IF(AND(F93=0,G93=0),"-",IF(F93=0,"● 신규 발생",IF(G93=0,"■ 매출 중단",IF(H93&gt;=0.05,"▲ 상승",IF(H93&lt;=-0.05,"▼ 하락","― 보합")))))</f>
        <v>▼ 하락</v>
      </c>
      <c r="U93" s="48"/>
    </row>
    <row r="94" customFormat="false" ht="15" hidden="false" customHeight="false" outlineLevel="0" collapsed="false">
      <c r="A94" s="21" t="n">
        <v>86</v>
      </c>
      <c r="B94" s="19" t="s">
        <v>181</v>
      </c>
      <c r="C94" s="22" t="s">
        <v>346</v>
      </c>
      <c r="D94" s="19" t="s">
        <v>347</v>
      </c>
      <c r="E94" s="46" t="n">
        <f aca="false">'주별 매출'!D111</f>
        <v>1</v>
      </c>
      <c r="F94" s="12" t="n">
        <f aca="false">AVERAGE('월별 매출'!D111:F111)</f>
        <v>1243476.66666667</v>
      </c>
      <c r="G94" s="12" t="n">
        <f aca="false">AVERAGE('월별 매출'!J111:L111)</f>
        <v>1204906.66666667</v>
      </c>
      <c r="H94" s="20" t="n">
        <f aca="false">IF(F94=0,"",G94/F94-1)</f>
        <v>-0.0310178719343347</v>
      </c>
      <c r="I94" s="12" t="n">
        <f aca="false">'월별 매출'!L111</f>
        <v>1004700</v>
      </c>
      <c r="J94" s="20" t="n">
        <f aca="false">'월별 매출'!U111</f>
        <v>-0.292250470212811</v>
      </c>
      <c r="K94" s="12" t="n">
        <f aca="false">'주별 매출'!BM111</f>
        <v>336050</v>
      </c>
      <c r="L94" s="20" t="n">
        <f aca="false">IF('주별 매출'!BL111=0,"",K94/'주별 매출'!BL111-1)</f>
        <v>0.236933156654888</v>
      </c>
      <c r="M94" s="12" t="n">
        <f aca="false">SUM('주별 매출'!BJ111:BM111)</f>
        <v>1256880</v>
      </c>
      <c r="N94" s="12" t="n">
        <f aca="false">SUM('주별 매출'!BF111:BI111)</f>
        <v>896290</v>
      </c>
      <c r="O94" s="20" t="n">
        <f aca="false">IF(N94=0,"",M94/N94-1)</f>
        <v>0.402313983197403</v>
      </c>
      <c r="P94" s="12" t="n">
        <f aca="false">'주별 매출'!M111</f>
        <v>0</v>
      </c>
      <c r="Q94" s="20" t="str">
        <f aca="false">IF(P94=0,"",K94/P94-1)</f>
        <v/>
      </c>
      <c r="R94" s="20" t="n">
        <f aca="false">IF($M$8=0,"",M94/$M$8)</f>
        <v>6.29636980826956E-005</v>
      </c>
      <c r="S94" s="21" t="str">
        <f aca="false">IF(AND(M94=0,N94=0),"-",IF(N94=0,"● 신규 발생",IF(M94=0,"■ 매출 중단",IF(O94&gt;=0.05,"▲ 상승",IF(O94&lt;=-0.05,"▼ 하락","― 보합")))))</f>
        <v>▲ 상승</v>
      </c>
      <c r="T94" s="21" t="str">
        <f aca="false">IF(AND(F94=0,G94=0),"-",IF(F94=0,"● 신규 발생",IF(G94=0,"■ 매출 중단",IF(H94&gt;=0.05,"▲ 상승",IF(H94&lt;=-0.05,"▼ 하락","― 보합")))))</f>
        <v>― 보합</v>
      </c>
      <c r="U94" s="48"/>
    </row>
    <row r="95" customFormat="false" ht="15" hidden="false" customHeight="false" outlineLevel="0" collapsed="false">
      <c r="A95" s="21" t="n">
        <v>87</v>
      </c>
      <c r="B95" s="19" t="s">
        <v>183</v>
      </c>
      <c r="C95" s="22" t="s">
        <v>348</v>
      </c>
      <c r="D95" s="19" t="s">
        <v>349</v>
      </c>
      <c r="E95" s="46" t="n">
        <f aca="false">'주별 매출'!D18</f>
        <v>1</v>
      </c>
      <c r="F95" s="12" t="n">
        <f aca="false">AVERAGE('월별 매출'!D18:F18)</f>
        <v>0</v>
      </c>
      <c r="G95" s="12" t="n">
        <f aca="false">AVERAGE('월별 매출'!J18:L18)</f>
        <v>1209865.66666667</v>
      </c>
      <c r="H95" s="20" t="str">
        <f aca="false">IF(F95=0,"",G95/F95-1)</f>
        <v/>
      </c>
      <c r="I95" s="12" t="n">
        <f aca="false">'월별 매출'!L18</f>
        <v>409216</v>
      </c>
      <c r="J95" s="20" t="n">
        <f aca="false">'월별 매출'!U18</f>
        <v>-0.735923402712036</v>
      </c>
      <c r="K95" s="12" t="n">
        <f aca="false">'주별 매출'!BM18</f>
        <v>146372</v>
      </c>
      <c r="L95" s="20" t="n">
        <f aca="false">IF('주별 매출'!BL18=0,"",K95/'주별 매출'!BL18-1)</f>
        <v>-0.443122156107805</v>
      </c>
      <c r="M95" s="12" t="n">
        <f aca="false">SUM('주별 매출'!BJ18:BM18)</f>
        <v>672060</v>
      </c>
      <c r="N95" s="12" t="n">
        <f aca="false">SUM('주별 매출'!BF18:BI18)</f>
        <v>754461</v>
      </c>
      <c r="O95" s="20" t="n">
        <f aca="false">IF(N95=0,"",M95/N95-1)</f>
        <v>-0.109218369140353</v>
      </c>
      <c r="P95" s="12" t="n">
        <f aca="false">'주별 매출'!M18</f>
        <v>0</v>
      </c>
      <c r="Q95" s="20" t="str">
        <f aca="false">IF(P95=0,"",K95/P95-1)</f>
        <v/>
      </c>
      <c r="R95" s="20" t="n">
        <f aca="false">IF($M$8=0,"",M95/$M$8)</f>
        <v>3.3667003161365E-005</v>
      </c>
      <c r="S95" s="21" t="str">
        <f aca="false">IF(AND(M95=0,N95=0),"-",IF(N95=0,"● 신규 발생",IF(M95=0,"■ 매출 중단",IF(O95&gt;=0.05,"▲ 상승",IF(O95&lt;=-0.05,"▼ 하락","― 보합")))))</f>
        <v>▼ 하락</v>
      </c>
      <c r="T95" s="21" t="str">
        <f aca="false">IF(AND(F95=0,G95=0),"-",IF(F95=0,"● 신규 발생",IF(G95=0,"■ 매출 중단",IF(H95&gt;=0.05,"▲ 상승",IF(H95&lt;=-0.05,"▼ 하락","― 보합")))))</f>
        <v>● 신규 발생</v>
      </c>
      <c r="U95" s="48"/>
    </row>
    <row r="96" customFormat="false" ht="15" hidden="false" customHeight="false" outlineLevel="0" collapsed="false">
      <c r="A96" s="21" t="n">
        <v>88</v>
      </c>
      <c r="B96" s="19" t="s">
        <v>181</v>
      </c>
      <c r="C96" s="22" t="s">
        <v>350</v>
      </c>
      <c r="D96" s="19" t="s">
        <v>351</v>
      </c>
      <c r="E96" s="46" t="n">
        <f aca="false">'주별 매출'!D115</f>
        <v>1</v>
      </c>
      <c r="F96" s="12" t="n">
        <f aca="false">AVERAGE('월별 매출'!D115:F115)</f>
        <v>1308276.66666667</v>
      </c>
      <c r="G96" s="12" t="n">
        <f aca="false">AVERAGE('월별 매출'!J115:L115)</f>
        <v>1129253.33333333</v>
      </c>
      <c r="H96" s="20" t="n">
        <f aca="false">IF(F96=0,"",G96/F96-1)</f>
        <v>-0.136839047805892</v>
      </c>
      <c r="I96" s="12" t="n">
        <f aca="false">'월별 매출'!L115</f>
        <v>1216000</v>
      </c>
      <c r="J96" s="20" t="n">
        <f aca="false">'월별 매출'!U115</f>
        <v>0.28</v>
      </c>
      <c r="K96" s="12" t="n">
        <f aca="false">'주별 매출'!BM115</f>
        <v>190000</v>
      </c>
      <c r="L96" s="20" t="n">
        <f aca="false">IF('주별 매출'!BL115=0,"",K96/'주별 매출'!BL115-1)</f>
        <v>-0.0223822999742732</v>
      </c>
      <c r="M96" s="12" t="n">
        <f aca="false">SUM('주별 매출'!BJ115:BM115)</f>
        <v>574350</v>
      </c>
      <c r="N96" s="12" t="n">
        <f aca="false">SUM('주별 매출'!BF115:BI115)</f>
        <v>1216000</v>
      </c>
      <c r="O96" s="20" t="n">
        <f aca="false">IF(N96=0,"",M96/N96-1)</f>
        <v>-0.527672697368421</v>
      </c>
      <c r="P96" s="12" t="n">
        <f aca="false">'주별 매출'!M115</f>
        <v>0</v>
      </c>
      <c r="Q96" s="20" t="str">
        <f aca="false">IF(P96=0,"",K96/P96-1)</f>
        <v/>
      </c>
      <c r="R96" s="20" t="n">
        <f aca="false">IF($M$8=0,"",M96/$M$8)</f>
        <v>2.87721978182453E-005</v>
      </c>
      <c r="S96" s="21" t="str">
        <f aca="false">IF(AND(M96=0,N96=0),"-",IF(N96=0,"● 신규 발생",IF(M96=0,"■ 매출 중단",IF(O96&gt;=0.05,"▲ 상승",IF(O96&lt;=-0.05,"▼ 하락","― 보합")))))</f>
        <v>▼ 하락</v>
      </c>
      <c r="T96" s="21" t="str">
        <f aca="false">IF(AND(F96=0,G96=0),"-",IF(F96=0,"● 신규 발생",IF(G96=0,"■ 매출 중단",IF(H96&gt;=0.05,"▲ 상승",IF(H96&lt;=-0.05,"▼ 하락","― 보합")))))</f>
        <v>▼ 하락</v>
      </c>
      <c r="U96" s="48"/>
    </row>
    <row r="97" customFormat="false" ht="15" hidden="false" customHeight="false" outlineLevel="0" collapsed="false">
      <c r="A97" s="21" t="n">
        <v>89</v>
      </c>
      <c r="B97" s="19" t="s">
        <v>181</v>
      </c>
      <c r="C97" s="22" t="s">
        <v>352</v>
      </c>
      <c r="D97" s="19" t="s">
        <v>353</v>
      </c>
      <c r="E97" s="46" t="n">
        <f aca="false">'주별 매출'!D113</f>
        <v>0</v>
      </c>
      <c r="F97" s="12" t="n">
        <f aca="false">AVERAGE('월별 매출'!D113:F113)</f>
        <v>2875696.66666667</v>
      </c>
      <c r="G97" s="12" t="n">
        <f aca="false">AVERAGE('월별 매출'!J113:L113)</f>
        <v>983356.666666667</v>
      </c>
      <c r="H97" s="20" t="n">
        <f aca="false">IF(F97=0,"",G97/F97-1)</f>
        <v>-0.65804576050557</v>
      </c>
      <c r="I97" s="12" t="n">
        <f aca="false">'월별 매출'!L113</f>
        <v>937760</v>
      </c>
      <c r="J97" s="20" t="n">
        <f aca="false">'월별 매출'!U113</f>
        <v>0.0745379335632685</v>
      </c>
      <c r="K97" s="12" t="n">
        <f aca="false">'주별 매출'!BM113</f>
        <v>0</v>
      </c>
      <c r="L97" s="20" t="n">
        <f aca="false">IF('주별 매출'!BL113=0,"",K97/'주별 매출'!BL113-1)</f>
        <v>-1</v>
      </c>
      <c r="M97" s="12" t="n">
        <f aca="false">SUM('주별 매출'!BJ113:BM113)</f>
        <v>494780</v>
      </c>
      <c r="N97" s="12" t="n">
        <f aca="false">SUM('주별 매출'!BF113:BI113)</f>
        <v>1133010</v>
      </c>
      <c r="O97" s="20" t="n">
        <f aca="false">IF(N97=0,"",M97/N97-1)</f>
        <v>-0.563304825200131</v>
      </c>
      <c r="P97" s="12" t="n">
        <f aca="false">'주별 매출'!M113</f>
        <v>0</v>
      </c>
      <c r="Q97" s="20" t="str">
        <f aca="false">IF(P97=0,"",K97/P97-1)</f>
        <v/>
      </c>
      <c r="R97" s="20" t="n">
        <f aca="false">IF($M$8=0,"",M97/$M$8)</f>
        <v>2.47861200252658E-005</v>
      </c>
      <c r="S97" s="21" t="str">
        <f aca="false">IF(AND(M97=0,N97=0),"-",IF(N97=0,"● 신규 발생",IF(M97=0,"■ 매출 중단",IF(O97&gt;=0.05,"▲ 상승",IF(O97&lt;=-0.05,"▼ 하락","― 보합")))))</f>
        <v>▼ 하락</v>
      </c>
      <c r="T97" s="21" t="str">
        <f aca="false">IF(AND(F97=0,G97=0),"-",IF(F97=0,"● 신규 발생",IF(G97=0,"■ 매출 중단",IF(H97&gt;=0.05,"▲ 상승",IF(H97&lt;=-0.05,"▼ 하락","― 보합")))))</f>
        <v>▼ 하락</v>
      </c>
      <c r="U97" s="48"/>
    </row>
    <row r="98" customFormat="false" ht="15" hidden="false" customHeight="false" outlineLevel="0" collapsed="false">
      <c r="A98" s="21" t="n">
        <v>90</v>
      </c>
      <c r="B98" s="19" t="s">
        <v>181</v>
      </c>
      <c r="C98" s="22" t="s">
        <v>354</v>
      </c>
      <c r="D98" s="22" t="s">
        <v>355</v>
      </c>
      <c r="E98" s="46" t="n">
        <f aca="false">'주별 매출'!D92</f>
        <v>1</v>
      </c>
      <c r="F98" s="12" t="n">
        <f aca="false">AVERAGE('월별 매출'!D92:F92)</f>
        <v>669147.333333333</v>
      </c>
      <c r="G98" s="12" t="n">
        <f aca="false">AVERAGE('월별 매출'!J92:L92)</f>
        <v>620633.333333333</v>
      </c>
      <c r="H98" s="20" t="n">
        <f aca="false">IF(F98=0,"",G98/F98-1)</f>
        <v>-0.0725012229494053</v>
      </c>
      <c r="I98" s="12" t="n">
        <f aca="false">'월별 매출'!L92</f>
        <v>628622</v>
      </c>
      <c r="J98" s="20" t="n">
        <f aca="false">'월별 매출'!U92</f>
        <v>-0.0906366044291941</v>
      </c>
      <c r="K98" s="12" t="n">
        <f aca="false">'주별 매출'!BM92</f>
        <v>98636</v>
      </c>
      <c r="L98" s="20" t="str">
        <f aca="false">IF('주별 매출'!BL92=0,"",K98/'주별 매출'!BL92-1)</f>
        <v/>
      </c>
      <c r="M98" s="12" t="n">
        <f aca="false">SUM('주별 매출'!BJ92:BM92)</f>
        <v>317420</v>
      </c>
      <c r="N98" s="12" t="n">
        <f aca="false">SUM('주별 매출'!BF92:BI92)</f>
        <v>409838</v>
      </c>
      <c r="O98" s="20" t="n">
        <f aca="false">IF(N98=0,"",M98/N98-1)</f>
        <v>-0.225498855645401</v>
      </c>
      <c r="P98" s="12" t="n">
        <f aca="false">'주별 매출'!M92</f>
        <v>914490</v>
      </c>
      <c r="Q98" s="20" t="n">
        <f aca="false">IF(P98=0,"",K98/P98-1)</f>
        <v>-0.892140974750954</v>
      </c>
      <c r="R98" s="20" t="n">
        <f aca="false">IF($M$8=0,"",M98/$M$8)</f>
        <v>1.5901229270423E-005</v>
      </c>
      <c r="S98" s="21" t="str">
        <f aca="false">IF(AND(M98=0,N98=0),"-",IF(N98=0,"● 신규 발생",IF(M98=0,"■ 매출 중단",IF(O98&gt;=0.05,"▲ 상승",IF(O98&lt;=-0.05,"▼ 하락","― 보합")))))</f>
        <v>▼ 하락</v>
      </c>
      <c r="T98" s="21" t="str">
        <f aca="false">IF(AND(F98=0,G98=0),"-",IF(F98=0,"● 신규 발생",IF(G98=0,"■ 매출 중단",IF(H98&gt;=0.05,"▲ 상승",IF(H98&lt;=-0.05,"▼ 하락","― 보합")))))</f>
        <v>▼ 하락</v>
      </c>
      <c r="U98" s="48"/>
    </row>
    <row r="99" customFormat="false" ht="15" hidden="false" customHeight="false" outlineLevel="0" collapsed="false">
      <c r="A99" s="21" t="n">
        <v>91</v>
      </c>
      <c r="B99" s="19" t="s">
        <v>181</v>
      </c>
      <c r="C99" s="22" t="s">
        <v>356</v>
      </c>
      <c r="D99" s="22" t="s">
        <v>357</v>
      </c>
      <c r="E99" s="46" t="n">
        <f aca="false">'주별 매출'!D118</f>
        <v>0</v>
      </c>
      <c r="F99" s="12" t="n">
        <f aca="false">AVERAGE('월별 매출'!D118:F118)</f>
        <v>162476.666666667</v>
      </c>
      <c r="G99" s="12" t="n">
        <f aca="false">AVERAGE('월별 매출'!J118:L118)</f>
        <v>176183.333333333</v>
      </c>
      <c r="H99" s="20" t="n">
        <f aca="false">IF(F99=0,"",G99/F99-1)</f>
        <v>0.0843608312988533</v>
      </c>
      <c r="I99" s="12" t="n">
        <f aca="false">'월별 매출'!L118</f>
        <v>249400</v>
      </c>
      <c r="J99" s="20" t="str">
        <f aca="false">'월별 매출'!U118</f>
        <v/>
      </c>
      <c r="K99" s="12" t="n">
        <f aca="false">'주별 매출'!BM118</f>
        <v>0</v>
      </c>
      <c r="L99" s="20" t="str">
        <f aca="false">IF('주별 매출'!BL118=0,"",K99/'주별 매출'!BL118-1)</f>
        <v/>
      </c>
      <c r="M99" s="12" t="n">
        <f aca="false">SUM('주별 매출'!BJ118:BM118)</f>
        <v>249400</v>
      </c>
      <c r="N99" s="12" t="n">
        <f aca="false">SUM('주별 매출'!BF118:BI118)</f>
        <v>0</v>
      </c>
      <c r="O99" s="20" t="str">
        <f aca="false">IF(N99=0,"",M99/N99-1)</f>
        <v/>
      </c>
      <c r="P99" s="12" t="n">
        <f aca="false">'주별 매출'!M118</f>
        <v>0</v>
      </c>
      <c r="Q99" s="20" t="str">
        <f aca="false">IF(P99=0,"",K99/P99-1)</f>
        <v/>
      </c>
      <c r="R99" s="20" t="n">
        <f aca="false">IF($M$8=0,"",M99/$M$8)</f>
        <v>1.24937514335691E-005</v>
      </c>
      <c r="S99" s="21" t="str">
        <f aca="false">IF(AND(M99=0,N99=0),"-",IF(N99=0,"● 신규 발생",IF(M99=0,"■ 매출 중단",IF(O99&gt;=0.05,"▲ 상승",IF(O99&lt;=-0.05,"▼ 하락","― 보합")))))</f>
        <v>● 신규 발생</v>
      </c>
      <c r="T99" s="21" t="str">
        <f aca="false">IF(AND(F99=0,G99=0),"-",IF(F99=0,"● 신규 발생",IF(G99=0,"■ 매출 중단",IF(H99&gt;=0.05,"▲ 상승",IF(H99&lt;=-0.05,"▼ 하락","― 보합")))))</f>
        <v>▲ 상승</v>
      </c>
      <c r="U99" s="48"/>
    </row>
    <row r="100" customFormat="false" ht="15" hidden="false" customHeight="false" outlineLevel="0" collapsed="false">
      <c r="A100" s="21" t="n">
        <v>92</v>
      </c>
      <c r="B100" s="19" t="s">
        <v>181</v>
      </c>
      <c r="C100" s="22" t="s">
        <v>358</v>
      </c>
      <c r="D100" s="19" t="s">
        <v>150</v>
      </c>
      <c r="E100" s="46" t="n">
        <f aca="false">'주별 매출'!D125</f>
        <v>1</v>
      </c>
      <c r="F100" s="12" t="n">
        <f aca="false">AVERAGE('월별 매출'!D125:F125)</f>
        <v>0</v>
      </c>
      <c r="G100" s="12" t="n">
        <f aca="false">AVERAGE('월별 매출'!J125:L125)</f>
        <v>0</v>
      </c>
      <c r="H100" s="20" t="str">
        <f aca="false">IF(F100=0,"",G100/F100-1)</f>
        <v/>
      </c>
      <c r="I100" s="12" t="n">
        <f aca="false">'월별 매출'!L125</f>
        <v>0</v>
      </c>
      <c r="J100" s="20" t="str">
        <f aca="false">'월별 매출'!U125</f>
        <v/>
      </c>
      <c r="K100" s="12" t="n">
        <f aca="false">'주별 매출'!BM125</f>
        <v>144780</v>
      </c>
      <c r="L100" s="20" t="n">
        <f aca="false">IF('주별 매출'!BL125=0,"",K100/'주별 매출'!BL125-1)</f>
        <v>2.09358974358974</v>
      </c>
      <c r="M100" s="12" t="n">
        <f aca="false">SUM('주별 매출'!BJ125:BM125)</f>
        <v>161105</v>
      </c>
      <c r="N100" s="12" t="n">
        <f aca="false">SUM('주별 매출'!BF125:BI125)</f>
        <v>-540717</v>
      </c>
      <c r="O100" s="20" t="n">
        <f aca="false">IF(N100=0,"",M100/N100-1)</f>
        <v>-1.29794698520668</v>
      </c>
      <c r="P100" s="12" t="n">
        <f aca="false">'주별 매출'!M125</f>
        <v>360691</v>
      </c>
      <c r="Q100" s="20" t="n">
        <f aca="false">IF(P100=0,"",K100/P100-1)</f>
        <v>-0.598603791056611</v>
      </c>
      <c r="R100" s="20" t="n">
        <f aca="false">IF($M$8=0,"",M100/$M$8)</f>
        <v>8.07059272135182E-006</v>
      </c>
      <c r="S100" s="21" t="str">
        <f aca="false">IF(AND(M100=0,N100=0),"-",IF(N100=0,"● 신규 발생",IF(M100=0,"■ 매출 중단",IF(O100&gt;=0.05,"▲ 상승",IF(O100&lt;=-0.05,"▼ 하락","― 보합")))))</f>
        <v>▼ 하락</v>
      </c>
      <c r="T100" s="21" t="str">
        <f aca="false">IF(AND(F100=0,G100=0),"-",IF(F100=0,"● 신규 발생",IF(G100=0,"■ 매출 중단",IF(H100&gt;=0.05,"▲ 상승",IF(H100&lt;=-0.05,"▼ 하락","― 보합")))))</f>
        <v>-</v>
      </c>
      <c r="U100" s="48"/>
    </row>
    <row r="101" customFormat="false" ht="15" hidden="false" customHeight="false" outlineLevel="0" collapsed="false">
      <c r="A101" s="21" t="n">
        <v>93</v>
      </c>
      <c r="B101" s="19" t="s">
        <v>183</v>
      </c>
      <c r="C101" s="22" t="s">
        <v>359</v>
      </c>
      <c r="D101" s="19" t="s">
        <v>360</v>
      </c>
      <c r="E101" s="46" t="n">
        <f aca="false">'주별 매출'!D10</f>
        <v>0</v>
      </c>
      <c r="F101" s="12" t="n">
        <f aca="false">AVERAGE('월별 매출'!D10:F10)</f>
        <v>846726.666666667</v>
      </c>
      <c r="G101" s="12" t="n">
        <f aca="false">AVERAGE('월별 매출'!J10:L10)</f>
        <v>0</v>
      </c>
      <c r="H101" s="20" t="n">
        <f aca="false">IF(F101=0,"",G101/F101-1)</f>
        <v>-1</v>
      </c>
      <c r="I101" s="12" t="n">
        <f aca="false">'월별 매출'!L10</f>
        <v>0</v>
      </c>
      <c r="J101" s="20" t="str">
        <f aca="false">'월별 매출'!U10</f>
        <v/>
      </c>
      <c r="K101" s="12" t="n">
        <f aca="false">'주별 매출'!BM10</f>
        <v>0</v>
      </c>
      <c r="L101" s="20" t="str">
        <f aca="false">IF('주별 매출'!BL10=0,"",K101/'주별 매출'!BL10-1)</f>
        <v/>
      </c>
      <c r="M101" s="12" t="n">
        <f aca="false">SUM('주별 매출'!BJ10:BM10)</f>
        <v>0</v>
      </c>
      <c r="N101" s="12" t="n">
        <f aca="false">SUM('주별 매출'!BF10:BI10)</f>
        <v>0</v>
      </c>
      <c r="O101" s="20" t="str">
        <f aca="false">IF(N101=0,"",M101/N101-1)</f>
        <v/>
      </c>
      <c r="P101" s="12" t="n">
        <f aca="false">'주별 매출'!M10</f>
        <v>0</v>
      </c>
      <c r="Q101" s="20" t="str">
        <f aca="false">IF(P101=0,"",K101/P101-1)</f>
        <v/>
      </c>
      <c r="R101" s="20" t="n">
        <f aca="false">IF($M$8=0,"",M101/$M$8)</f>
        <v>0</v>
      </c>
      <c r="S101" s="21" t="str">
        <f aca="false">IF(AND(M101=0,N101=0),"-",IF(N101=0,"● 신규 발생",IF(M101=0,"■ 매출 중단",IF(O101&gt;=0.05,"▲ 상승",IF(O101&lt;=-0.05,"▼ 하락","― 보합")))))</f>
        <v>-</v>
      </c>
      <c r="T101" s="21" t="str">
        <f aca="false">IF(AND(F101=0,G101=0),"-",IF(F101=0,"● 신규 발생",IF(G101=0,"■ 매출 중단",IF(H101&gt;=0.05,"▲ 상승",IF(H101&lt;=-0.05,"▼ 하락","― 보합")))))</f>
        <v>■ 매출 중단</v>
      </c>
      <c r="U101" s="48"/>
    </row>
    <row r="102" customFormat="false" ht="15" hidden="false" customHeight="false" outlineLevel="0" collapsed="false">
      <c r="A102" s="21" t="n">
        <v>94</v>
      </c>
      <c r="B102" s="19" t="s">
        <v>183</v>
      </c>
      <c r="C102" s="22" t="s">
        <v>361</v>
      </c>
      <c r="D102" s="22" t="s">
        <v>362</v>
      </c>
      <c r="E102" s="46" t="n">
        <f aca="false">'주별 매출'!D14</f>
        <v>0</v>
      </c>
      <c r="F102" s="12" t="n">
        <f aca="false">AVERAGE('월별 매출'!D14:F14)</f>
        <v>166630</v>
      </c>
      <c r="G102" s="12" t="n">
        <f aca="false">AVERAGE('월별 매출'!J14:L14)</f>
        <v>0</v>
      </c>
      <c r="H102" s="20" t="n">
        <f aca="false">IF(F102=0,"",G102/F102-1)</f>
        <v>-1</v>
      </c>
      <c r="I102" s="12" t="n">
        <f aca="false">'월별 매출'!L14</f>
        <v>0</v>
      </c>
      <c r="J102" s="20" t="str">
        <f aca="false">'월별 매출'!U14</f>
        <v/>
      </c>
      <c r="K102" s="12" t="n">
        <f aca="false">'주별 매출'!BM14</f>
        <v>0</v>
      </c>
      <c r="L102" s="20" t="str">
        <f aca="false">IF('주별 매출'!BL14=0,"",K102/'주별 매출'!BL14-1)</f>
        <v/>
      </c>
      <c r="M102" s="12" t="n">
        <f aca="false">SUM('주별 매출'!BJ14:BM14)</f>
        <v>0</v>
      </c>
      <c r="N102" s="12" t="n">
        <f aca="false">SUM('주별 매출'!BF14:BI14)</f>
        <v>0</v>
      </c>
      <c r="O102" s="20" t="str">
        <f aca="false">IF(N102=0,"",M102/N102-1)</f>
        <v/>
      </c>
      <c r="P102" s="12" t="n">
        <f aca="false">'주별 매출'!M14</f>
        <v>0</v>
      </c>
      <c r="Q102" s="20" t="str">
        <f aca="false">IF(P102=0,"",K102/P102-1)</f>
        <v/>
      </c>
      <c r="R102" s="20" t="n">
        <f aca="false">IF($M$8=0,"",M102/$M$8)</f>
        <v>0</v>
      </c>
      <c r="S102" s="21" t="str">
        <f aca="false">IF(AND(M102=0,N102=0),"-",IF(N102=0,"● 신규 발생",IF(M102=0,"■ 매출 중단",IF(O102&gt;=0.05,"▲ 상승",IF(O102&lt;=-0.05,"▼ 하락","― 보합")))))</f>
        <v>-</v>
      </c>
      <c r="T102" s="21" t="str">
        <f aca="false">IF(AND(F102=0,G102=0),"-",IF(F102=0,"● 신규 발생",IF(G102=0,"■ 매출 중단",IF(H102&gt;=0.05,"▲ 상승",IF(H102&lt;=-0.05,"▼ 하락","― 보합")))))</f>
        <v>■ 매출 중단</v>
      </c>
      <c r="U102" s="48"/>
    </row>
    <row r="103" customFormat="false" ht="15" hidden="false" customHeight="false" outlineLevel="0" collapsed="false">
      <c r="A103" s="21" t="n">
        <v>95</v>
      </c>
      <c r="B103" s="19" t="s">
        <v>183</v>
      </c>
      <c r="C103" s="22" t="s">
        <v>363</v>
      </c>
      <c r="D103" s="19" t="s">
        <v>364</v>
      </c>
      <c r="E103" s="46" t="n">
        <f aca="false">'주별 매출'!D20</f>
        <v>0</v>
      </c>
      <c r="F103" s="12" t="n">
        <f aca="false">AVERAGE('월별 매출'!D20:F20)</f>
        <v>0</v>
      </c>
      <c r="G103" s="12" t="n">
        <f aca="false">AVERAGE('월별 매출'!J20:L20)</f>
        <v>3373333.33333333</v>
      </c>
      <c r="H103" s="20" t="str">
        <f aca="false">IF(F103=0,"",G103/F103-1)</f>
        <v/>
      </c>
      <c r="I103" s="12" t="n">
        <f aca="false">'월별 매출'!L20</f>
        <v>1320000</v>
      </c>
      <c r="J103" s="20" t="str">
        <f aca="false">'월별 매출'!U20</f>
        <v/>
      </c>
      <c r="K103" s="12" t="n">
        <f aca="false">'주별 매출'!BM20</f>
        <v>0</v>
      </c>
      <c r="L103" s="20" t="str">
        <f aca="false">IF('주별 매출'!BL20=0,"",K103/'주별 매출'!BL20-1)</f>
        <v/>
      </c>
      <c r="M103" s="12" t="n">
        <f aca="false">SUM('주별 매출'!BJ20:BM20)</f>
        <v>0</v>
      </c>
      <c r="N103" s="12" t="n">
        <f aca="false">SUM('주별 매출'!BF20:BI20)</f>
        <v>1320000</v>
      </c>
      <c r="O103" s="20" t="n">
        <f aca="false">IF(N103=0,"",M103/N103-1)</f>
        <v>-1</v>
      </c>
      <c r="P103" s="12" t="n">
        <f aca="false">'주별 매출'!M20</f>
        <v>0</v>
      </c>
      <c r="Q103" s="20" t="str">
        <f aca="false">IF(P103=0,"",K103/P103-1)</f>
        <v/>
      </c>
      <c r="R103" s="20" t="n">
        <f aca="false">IF($M$8=0,"",M103/$M$8)</f>
        <v>0</v>
      </c>
      <c r="S103" s="21" t="str">
        <f aca="false">IF(AND(M103=0,N103=0),"-",IF(N103=0,"● 신규 발생",IF(M103=0,"■ 매출 중단",IF(O103&gt;=0.05,"▲ 상승",IF(O103&lt;=-0.05,"▼ 하락","― 보합")))))</f>
        <v>■ 매출 중단</v>
      </c>
      <c r="T103" s="21" t="str">
        <f aca="false">IF(AND(F103=0,G103=0),"-",IF(F103=0,"● 신규 발생",IF(G103=0,"■ 매출 중단",IF(H103&gt;=0.05,"▲ 상승",IF(H103&lt;=-0.05,"▼ 하락","― 보합")))))</f>
        <v>● 신규 발생</v>
      </c>
      <c r="U103" s="48"/>
    </row>
    <row r="104" customFormat="false" ht="15" hidden="false" customHeight="false" outlineLevel="0" collapsed="false">
      <c r="A104" s="21" t="n">
        <v>96</v>
      </c>
      <c r="B104" s="19" t="s">
        <v>183</v>
      </c>
      <c r="C104" s="22" t="s">
        <v>365</v>
      </c>
      <c r="D104" s="19" t="s">
        <v>366</v>
      </c>
      <c r="E104" s="46" t="n">
        <f aca="false">'주별 매출'!D28</f>
        <v>1</v>
      </c>
      <c r="F104" s="12" t="n">
        <f aca="false">AVERAGE('월별 매출'!D28:F28)</f>
        <v>0</v>
      </c>
      <c r="G104" s="12" t="n">
        <f aca="false">AVERAGE('월별 매출'!J28:L28)</f>
        <v>0</v>
      </c>
      <c r="H104" s="20" t="str">
        <f aca="false">IF(F104=0,"",G104/F104-1)</f>
        <v/>
      </c>
      <c r="I104" s="12" t="n">
        <f aca="false">'월별 매출'!L28</f>
        <v>0</v>
      </c>
      <c r="J104" s="20" t="str">
        <f aca="false">'월별 매출'!U28</f>
        <v/>
      </c>
      <c r="K104" s="12" t="n">
        <f aca="false">'주별 매출'!BM28</f>
        <v>192660</v>
      </c>
      <c r="L104" s="20" t="n">
        <f aca="false">IF('주별 매출'!BL28=0,"",K104/'주별 매출'!BL28-1)</f>
        <v>-2</v>
      </c>
      <c r="M104" s="12" t="n">
        <f aca="false">SUM('주별 매출'!BJ28:BM28)</f>
        <v>0</v>
      </c>
      <c r="N104" s="12" t="n">
        <f aca="false">SUM('주별 매출'!BF28:BI28)</f>
        <v>0</v>
      </c>
      <c r="O104" s="20" t="str">
        <f aca="false">IF(N104=0,"",M104/N104-1)</f>
        <v/>
      </c>
      <c r="P104" s="12" t="n">
        <f aca="false">'주별 매출'!M28</f>
        <v>0</v>
      </c>
      <c r="Q104" s="20" t="str">
        <f aca="false">IF(P104=0,"",K104/P104-1)</f>
        <v/>
      </c>
      <c r="R104" s="20" t="n">
        <f aca="false">IF($M$8=0,"",M104/$M$8)</f>
        <v>0</v>
      </c>
      <c r="S104" s="21" t="str">
        <f aca="false">IF(AND(M104=0,N104=0),"-",IF(N104=0,"● 신규 발생",IF(M104=0,"■ 매출 중단",IF(O104&gt;=0.05,"▲ 상승",IF(O104&lt;=-0.05,"▼ 하락","― 보합")))))</f>
        <v>-</v>
      </c>
      <c r="T104" s="21" t="str">
        <f aca="false">IF(AND(F104=0,G104=0),"-",IF(F104=0,"● 신규 발생",IF(G104=0,"■ 매출 중단",IF(H104&gt;=0.05,"▲ 상승",IF(H104&lt;=-0.05,"▼ 하락","― 보합")))))</f>
        <v>-</v>
      </c>
      <c r="U104" s="48"/>
    </row>
    <row r="105" customFormat="false" ht="15" hidden="false" customHeight="false" outlineLevel="0" collapsed="false">
      <c r="A105" s="21" t="n">
        <v>97</v>
      </c>
      <c r="B105" s="19" t="s">
        <v>181</v>
      </c>
      <c r="C105" s="22" t="s">
        <v>367</v>
      </c>
      <c r="D105" s="19" t="s">
        <v>368</v>
      </c>
      <c r="E105" s="46" t="n">
        <f aca="false">'주별 매출'!D29</f>
        <v>0</v>
      </c>
      <c r="F105" s="12" t="n">
        <f aca="false">AVERAGE('월별 매출'!D29:F29)</f>
        <v>472194970.666667</v>
      </c>
      <c r="G105" s="12" t="n">
        <f aca="false">AVERAGE('월별 매출'!J29:L29)</f>
        <v>438600</v>
      </c>
      <c r="H105" s="20" t="n">
        <f aca="false">IF(F105=0,"",G105/F105-1)</f>
        <v>-0.999071146396624</v>
      </c>
      <c r="I105" s="12" t="n">
        <f aca="false">'월별 매출'!L29</f>
        <v>0</v>
      </c>
      <c r="J105" s="20" t="str">
        <f aca="false">'월별 매출'!U29</f>
        <v/>
      </c>
      <c r="K105" s="12" t="n">
        <f aca="false">'주별 매출'!BM29</f>
        <v>0</v>
      </c>
      <c r="L105" s="20" t="str">
        <f aca="false">IF('주별 매출'!BL29=0,"",K105/'주별 매출'!BL29-1)</f>
        <v/>
      </c>
      <c r="M105" s="12" t="n">
        <f aca="false">SUM('주별 매출'!BJ29:BM29)</f>
        <v>0</v>
      </c>
      <c r="N105" s="12" t="n">
        <f aca="false">SUM('주별 매출'!BF29:BI29)</f>
        <v>0</v>
      </c>
      <c r="O105" s="20" t="str">
        <f aca="false">IF(N105=0,"",M105/N105-1)</f>
        <v/>
      </c>
      <c r="P105" s="12" t="n">
        <f aca="false">'주별 매출'!M29</f>
        <v>82861560</v>
      </c>
      <c r="Q105" s="20" t="n">
        <f aca="false">IF(P105=0,"",K105/P105-1)</f>
        <v>-1</v>
      </c>
      <c r="R105" s="20" t="n">
        <f aca="false">IF($M$8=0,"",M105/$M$8)</f>
        <v>0</v>
      </c>
      <c r="S105" s="21" t="str">
        <f aca="false">IF(AND(M105=0,N105=0),"-",IF(N105=0,"● 신규 발생",IF(M105=0,"■ 매출 중단",IF(O105&gt;=0.05,"▲ 상승",IF(O105&lt;=-0.05,"▼ 하락","― 보합")))))</f>
        <v>-</v>
      </c>
      <c r="T105" s="21" t="str">
        <f aca="false">IF(AND(F105=0,G105=0),"-",IF(F105=0,"● 신규 발생",IF(G105=0,"■ 매출 중단",IF(H105&gt;=0.05,"▲ 상승",IF(H105&lt;=-0.05,"▼ 하락","― 보합")))))</f>
        <v>▼ 하락</v>
      </c>
      <c r="U105" s="48"/>
    </row>
    <row r="106" customFormat="false" ht="15" hidden="false" customHeight="false" outlineLevel="0" collapsed="false">
      <c r="A106" s="21" t="n">
        <v>98</v>
      </c>
      <c r="B106" s="19" t="s">
        <v>181</v>
      </c>
      <c r="C106" s="22" t="s">
        <v>369</v>
      </c>
      <c r="D106" s="19" t="s">
        <v>370</v>
      </c>
      <c r="E106" s="46" t="n">
        <f aca="false">'주별 매출'!D34</f>
        <v>0</v>
      </c>
      <c r="F106" s="12" t="n">
        <f aca="false">AVERAGE('월별 매출'!D34:F34)</f>
        <v>11995454.3333333</v>
      </c>
      <c r="G106" s="12" t="n">
        <f aca="false">AVERAGE('월별 매출'!J34:L34)</f>
        <v>0</v>
      </c>
      <c r="H106" s="20" t="n">
        <f aca="false">IF(F106=0,"",G106/F106-1)</f>
        <v>-1</v>
      </c>
      <c r="I106" s="12" t="n">
        <f aca="false">'월별 매출'!L34</f>
        <v>0</v>
      </c>
      <c r="J106" s="20" t="str">
        <f aca="false">'월별 매출'!U34</f>
        <v/>
      </c>
      <c r="K106" s="12" t="n">
        <f aca="false">'주별 매출'!BM34</f>
        <v>0</v>
      </c>
      <c r="L106" s="20" t="str">
        <f aca="false">IF('주별 매출'!BL34=0,"",K106/'주별 매출'!BL34-1)</f>
        <v/>
      </c>
      <c r="M106" s="12" t="n">
        <f aca="false">SUM('주별 매출'!BJ34:BM34)</f>
        <v>0</v>
      </c>
      <c r="N106" s="12" t="n">
        <f aca="false">SUM('주별 매출'!BF34:BI34)</f>
        <v>0</v>
      </c>
      <c r="O106" s="20" t="str">
        <f aca="false">IF(N106=0,"",M106/N106-1)</f>
        <v/>
      </c>
      <c r="P106" s="12" t="n">
        <f aca="false">'주별 매출'!M34</f>
        <v>5204124</v>
      </c>
      <c r="Q106" s="20" t="n">
        <f aca="false">IF(P106=0,"",K106/P106-1)</f>
        <v>-1</v>
      </c>
      <c r="R106" s="20" t="n">
        <f aca="false">IF($M$8=0,"",M106/$M$8)</f>
        <v>0</v>
      </c>
      <c r="S106" s="21" t="str">
        <f aca="false">IF(AND(M106=0,N106=0),"-",IF(N106=0,"● 신규 발생",IF(M106=0,"■ 매출 중단",IF(O106&gt;=0.05,"▲ 상승",IF(O106&lt;=-0.05,"▼ 하락","― 보합")))))</f>
        <v>-</v>
      </c>
      <c r="T106" s="21" t="str">
        <f aca="false">IF(AND(F106=0,G106=0),"-",IF(F106=0,"● 신규 발생",IF(G106=0,"■ 매출 중단",IF(H106&gt;=0.05,"▲ 상승",IF(H106&lt;=-0.05,"▼ 하락","― 보합")))))</f>
        <v>■ 매출 중단</v>
      </c>
      <c r="U106" s="48"/>
    </row>
    <row r="107" customFormat="false" ht="15" hidden="false" customHeight="false" outlineLevel="0" collapsed="false">
      <c r="A107" s="21" t="n">
        <v>99</v>
      </c>
      <c r="B107" s="19" t="s">
        <v>181</v>
      </c>
      <c r="C107" s="22" t="s">
        <v>371</v>
      </c>
      <c r="D107" s="19" t="s">
        <v>372</v>
      </c>
      <c r="E107" s="46" t="n">
        <f aca="false">'주별 매출'!D35</f>
        <v>0</v>
      </c>
      <c r="F107" s="12" t="n">
        <f aca="false">AVERAGE('월별 매출'!D35:F35)</f>
        <v>5143386.66666667</v>
      </c>
      <c r="G107" s="12" t="n">
        <f aca="false">AVERAGE('월별 매출'!J35:L35)</f>
        <v>0</v>
      </c>
      <c r="H107" s="20" t="n">
        <f aca="false">IF(F107=0,"",G107/F107-1)</f>
        <v>-1</v>
      </c>
      <c r="I107" s="12" t="n">
        <f aca="false">'월별 매출'!L35</f>
        <v>0</v>
      </c>
      <c r="J107" s="20" t="str">
        <f aca="false">'월별 매출'!U35</f>
        <v/>
      </c>
      <c r="K107" s="12" t="n">
        <f aca="false">'주별 매출'!BM35</f>
        <v>0</v>
      </c>
      <c r="L107" s="20" t="str">
        <f aca="false">IF('주별 매출'!BL35=0,"",K107/'주별 매출'!BL35-1)</f>
        <v/>
      </c>
      <c r="M107" s="12" t="n">
        <f aca="false">SUM('주별 매출'!BJ35:BM35)</f>
        <v>0</v>
      </c>
      <c r="N107" s="12" t="n">
        <f aca="false">SUM('주별 매출'!BF35:BI35)</f>
        <v>0</v>
      </c>
      <c r="O107" s="20" t="str">
        <f aca="false">IF(N107=0,"",M107/N107-1)</f>
        <v/>
      </c>
      <c r="P107" s="12" t="n">
        <f aca="false">'주별 매출'!M35</f>
        <v>2779900</v>
      </c>
      <c r="Q107" s="20" t="n">
        <f aca="false">IF(P107=0,"",K107/P107-1)</f>
        <v>-1</v>
      </c>
      <c r="R107" s="20" t="n">
        <f aca="false">IF($M$8=0,"",M107/$M$8)</f>
        <v>0</v>
      </c>
      <c r="S107" s="21" t="str">
        <f aca="false">IF(AND(M107=0,N107=0),"-",IF(N107=0,"● 신규 발생",IF(M107=0,"■ 매출 중단",IF(O107&gt;=0.05,"▲ 상승",IF(O107&lt;=-0.05,"▼ 하락","― 보합")))))</f>
        <v>-</v>
      </c>
      <c r="T107" s="21" t="str">
        <f aca="false">IF(AND(F107=0,G107=0),"-",IF(F107=0,"● 신규 발생",IF(G107=0,"■ 매출 중단",IF(H107&gt;=0.05,"▲ 상승",IF(H107&lt;=-0.05,"▼ 하락","― 보합")))))</f>
        <v>■ 매출 중단</v>
      </c>
      <c r="U107" s="48"/>
    </row>
    <row r="108" customFormat="false" ht="15" hidden="false" customHeight="false" outlineLevel="0" collapsed="false">
      <c r="A108" s="21" t="n">
        <v>100</v>
      </c>
      <c r="B108" s="19" t="s">
        <v>181</v>
      </c>
      <c r="C108" s="22" t="s">
        <v>373</v>
      </c>
      <c r="D108" s="19" t="s">
        <v>374</v>
      </c>
      <c r="E108" s="46" t="n">
        <f aca="false">'주별 매출'!D36</f>
        <v>0</v>
      </c>
      <c r="F108" s="12" t="n">
        <f aca="false">AVERAGE('월별 매출'!D36:F36)</f>
        <v>2912113.33333333</v>
      </c>
      <c r="G108" s="12" t="n">
        <f aca="false">AVERAGE('월별 매출'!J36:L36)</f>
        <v>1792383.33333333</v>
      </c>
      <c r="H108" s="20" t="n">
        <f aca="false">IF(F108=0,"",G108/F108-1)</f>
        <v>-0.384507700020833</v>
      </c>
      <c r="I108" s="12" t="n">
        <f aca="false">'월별 매출'!L36</f>
        <v>0</v>
      </c>
      <c r="J108" s="20" t="str">
        <f aca="false">'월별 매출'!U36</f>
        <v/>
      </c>
      <c r="K108" s="12" t="n">
        <f aca="false">'주별 매출'!BM36</f>
        <v>0</v>
      </c>
      <c r="L108" s="20" t="str">
        <f aca="false">IF('주별 매출'!BL36=0,"",K108/'주별 매출'!BL36-1)</f>
        <v/>
      </c>
      <c r="M108" s="12" t="n">
        <f aca="false">SUM('주별 매출'!BJ36:BM36)</f>
        <v>0</v>
      </c>
      <c r="N108" s="12" t="n">
        <f aca="false">SUM('주별 매출'!BF36:BI36)</f>
        <v>0</v>
      </c>
      <c r="O108" s="20" t="str">
        <f aca="false">IF(N108=0,"",M108/N108-1)</f>
        <v/>
      </c>
      <c r="P108" s="12" t="n">
        <f aca="false">'주별 매출'!M36</f>
        <v>0</v>
      </c>
      <c r="Q108" s="20" t="str">
        <f aca="false">IF(P108=0,"",K108/P108-1)</f>
        <v/>
      </c>
      <c r="R108" s="20" t="n">
        <f aca="false">IF($M$8=0,"",M108/$M$8)</f>
        <v>0</v>
      </c>
      <c r="S108" s="21" t="str">
        <f aca="false">IF(AND(M108=0,N108=0),"-",IF(N108=0,"● 신규 발생",IF(M108=0,"■ 매출 중단",IF(O108&gt;=0.05,"▲ 상승",IF(O108&lt;=-0.05,"▼ 하락","― 보합")))))</f>
        <v>-</v>
      </c>
      <c r="T108" s="21" t="str">
        <f aca="false">IF(AND(F108=0,G108=0),"-",IF(F108=0,"● 신규 발생",IF(G108=0,"■ 매출 중단",IF(H108&gt;=0.05,"▲ 상승",IF(H108&lt;=-0.05,"▼ 하락","― 보합")))))</f>
        <v>▼ 하락</v>
      </c>
      <c r="U108" s="47" t="s">
        <v>375</v>
      </c>
    </row>
    <row r="109" customFormat="false" ht="15" hidden="false" customHeight="false" outlineLevel="0" collapsed="false">
      <c r="A109" s="21" t="n">
        <v>101</v>
      </c>
      <c r="B109" s="19" t="s">
        <v>181</v>
      </c>
      <c r="C109" s="22" t="s">
        <v>376</v>
      </c>
      <c r="D109" s="19" t="s">
        <v>377</v>
      </c>
      <c r="E109" s="46" t="n">
        <f aca="false">'주별 매출'!D38</f>
        <v>0</v>
      </c>
      <c r="F109" s="12" t="n">
        <f aca="false">AVERAGE('월별 매출'!D38:F38)</f>
        <v>71134389</v>
      </c>
      <c r="G109" s="12" t="n">
        <f aca="false">AVERAGE('월별 매출'!J38:L38)</f>
        <v>0</v>
      </c>
      <c r="H109" s="20" t="n">
        <f aca="false">IF(F109=0,"",G109/F109-1)</f>
        <v>-1</v>
      </c>
      <c r="I109" s="12" t="n">
        <f aca="false">'월별 매출'!L38</f>
        <v>0</v>
      </c>
      <c r="J109" s="20" t="str">
        <f aca="false">'월별 매출'!U38</f>
        <v/>
      </c>
      <c r="K109" s="12" t="n">
        <f aca="false">'주별 매출'!BM38</f>
        <v>0</v>
      </c>
      <c r="L109" s="20" t="str">
        <f aca="false">IF('주별 매출'!BL38=0,"",K109/'주별 매출'!BL38-1)</f>
        <v/>
      </c>
      <c r="M109" s="12" t="n">
        <f aca="false">SUM('주별 매출'!BJ38:BM38)</f>
        <v>0</v>
      </c>
      <c r="N109" s="12" t="n">
        <f aca="false">SUM('주별 매출'!BF38:BI38)</f>
        <v>0</v>
      </c>
      <c r="O109" s="20" t="str">
        <f aca="false">IF(N109=0,"",M109/N109-1)</f>
        <v/>
      </c>
      <c r="P109" s="12" t="n">
        <f aca="false">'주별 매출'!M38</f>
        <v>19468584</v>
      </c>
      <c r="Q109" s="20" t="n">
        <f aca="false">IF(P109=0,"",K109/P109-1)</f>
        <v>-1</v>
      </c>
      <c r="R109" s="20" t="n">
        <f aca="false">IF($M$8=0,"",M109/$M$8)</f>
        <v>0</v>
      </c>
      <c r="S109" s="21" t="str">
        <f aca="false">IF(AND(M109=0,N109=0),"-",IF(N109=0,"● 신규 발생",IF(M109=0,"■ 매출 중단",IF(O109&gt;=0.05,"▲ 상승",IF(O109&lt;=-0.05,"▼ 하락","― 보합")))))</f>
        <v>-</v>
      </c>
      <c r="T109" s="21" t="str">
        <f aca="false">IF(AND(F109=0,G109=0),"-",IF(F109=0,"● 신규 발생",IF(G109=0,"■ 매출 중단",IF(H109&gt;=0.05,"▲ 상승",IF(H109&lt;=-0.05,"▼ 하락","― 보합")))))</f>
        <v>■ 매출 중단</v>
      </c>
      <c r="U109" s="47" t="s">
        <v>378</v>
      </c>
    </row>
    <row r="110" customFormat="false" ht="15" hidden="false" customHeight="false" outlineLevel="0" collapsed="false">
      <c r="A110" s="21" t="n">
        <v>102</v>
      </c>
      <c r="B110" s="19" t="s">
        <v>181</v>
      </c>
      <c r="C110" s="22" t="s">
        <v>379</v>
      </c>
      <c r="D110" s="19" t="s">
        <v>380</v>
      </c>
      <c r="E110" s="46" t="n">
        <f aca="false">'주별 매출'!D41</f>
        <v>0</v>
      </c>
      <c r="F110" s="12" t="n">
        <f aca="false">AVERAGE('월별 매출'!D41:F41)</f>
        <v>54023249.3333333</v>
      </c>
      <c r="G110" s="12" t="n">
        <f aca="false">AVERAGE('월별 매출'!J41:L41)</f>
        <v>0</v>
      </c>
      <c r="H110" s="20" t="n">
        <f aca="false">IF(F110=0,"",G110/F110-1)</f>
        <v>-1</v>
      </c>
      <c r="I110" s="12" t="n">
        <f aca="false">'월별 매출'!L41</f>
        <v>0</v>
      </c>
      <c r="J110" s="20" t="str">
        <f aca="false">'월별 매출'!U41</f>
        <v/>
      </c>
      <c r="K110" s="12" t="n">
        <f aca="false">'주별 매출'!BM41</f>
        <v>0</v>
      </c>
      <c r="L110" s="20" t="str">
        <f aca="false">IF('주별 매출'!BL41=0,"",K110/'주별 매출'!BL41-1)</f>
        <v/>
      </c>
      <c r="M110" s="12" t="n">
        <f aca="false">SUM('주별 매출'!BJ41:BM41)</f>
        <v>0</v>
      </c>
      <c r="N110" s="12" t="n">
        <f aca="false">SUM('주별 매출'!BF41:BI41)</f>
        <v>0</v>
      </c>
      <c r="O110" s="20" t="str">
        <f aca="false">IF(N110=0,"",M110/N110-1)</f>
        <v/>
      </c>
      <c r="P110" s="12" t="n">
        <f aca="false">'주별 매출'!M41</f>
        <v>17291620</v>
      </c>
      <c r="Q110" s="20" t="n">
        <f aca="false">IF(P110=0,"",K110/P110-1)</f>
        <v>-1</v>
      </c>
      <c r="R110" s="20" t="n">
        <f aca="false">IF($M$8=0,"",M110/$M$8)</f>
        <v>0</v>
      </c>
      <c r="S110" s="21" t="str">
        <f aca="false">IF(AND(M110=0,N110=0),"-",IF(N110=0,"● 신규 발생",IF(M110=0,"■ 매출 중단",IF(O110&gt;=0.05,"▲ 상승",IF(O110&lt;=-0.05,"▼ 하락","― 보합")))))</f>
        <v>-</v>
      </c>
      <c r="T110" s="21" t="str">
        <f aca="false">IF(AND(F110=0,G110=0),"-",IF(F110=0,"● 신규 발생",IF(G110=0,"■ 매출 중단",IF(H110&gt;=0.05,"▲ 상승",IF(H110&lt;=-0.05,"▼ 하락","― 보합")))))</f>
        <v>■ 매출 중단</v>
      </c>
      <c r="U110" s="48"/>
    </row>
    <row r="111" customFormat="false" ht="15" hidden="false" customHeight="false" outlineLevel="0" collapsed="false">
      <c r="A111" s="21" t="n">
        <v>103</v>
      </c>
      <c r="B111" s="19" t="s">
        <v>181</v>
      </c>
      <c r="C111" s="22" t="s">
        <v>381</v>
      </c>
      <c r="D111" s="19" t="s">
        <v>382</v>
      </c>
      <c r="E111" s="46" t="n">
        <f aca="false">'주별 매출'!D45</f>
        <v>0</v>
      </c>
      <c r="F111" s="12" t="n">
        <f aca="false">AVERAGE('월별 매출'!D45:F45)</f>
        <v>74424053</v>
      </c>
      <c r="G111" s="12" t="n">
        <f aca="false">AVERAGE('월별 매출'!J45:L45)</f>
        <v>0</v>
      </c>
      <c r="H111" s="20" t="n">
        <f aca="false">IF(F111=0,"",G111/F111-1)</f>
        <v>-1</v>
      </c>
      <c r="I111" s="12" t="n">
        <f aca="false">'월별 매출'!L45</f>
        <v>0</v>
      </c>
      <c r="J111" s="20" t="str">
        <f aca="false">'월별 매출'!U45</f>
        <v/>
      </c>
      <c r="K111" s="12" t="n">
        <f aca="false">'주별 매출'!BM45</f>
        <v>0</v>
      </c>
      <c r="L111" s="20" t="str">
        <f aca="false">IF('주별 매출'!BL45=0,"",K111/'주별 매출'!BL45-1)</f>
        <v/>
      </c>
      <c r="M111" s="12" t="n">
        <f aca="false">SUM('주별 매출'!BJ45:BM45)</f>
        <v>0</v>
      </c>
      <c r="N111" s="12" t="n">
        <f aca="false">SUM('주별 매출'!BF45:BI45)</f>
        <v>0</v>
      </c>
      <c r="O111" s="20" t="str">
        <f aca="false">IF(N111=0,"",M111/N111-1)</f>
        <v/>
      </c>
      <c r="P111" s="12" t="n">
        <f aca="false">'주별 매출'!M45</f>
        <v>18621986</v>
      </c>
      <c r="Q111" s="20" t="n">
        <f aca="false">IF(P111=0,"",K111/P111-1)</f>
        <v>-1</v>
      </c>
      <c r="R111" s="20" t="n">
        <f aca="false">IF($M$8=0,"",M111/$M$8)</f>
        <v>0</v>
      </c>
      <c r="S111" s="21" t="str">
        <f aca="false">IF(AND(M111=0,N111=0),"-",IF(N111=0,"● 신규 발생",IF(M111=0,"■ 매출 중단",IF(O111&gt;=0.05,"▲ 상승",IF(O111&lt;=-0.05,"▼ 하락","― 보합")))))</f>
        <v>-</v>
      </c>
      <c r="T111" s="21" t="str">
        <f aca="false">IF(AND(F111=0,G111=0),"-",IF(F111=0,"● 신규 발생",IF(G111=0,"■ 매출 중단",IF(H111&gt;=0.05,"▲ 상승",IF(H111&lt;=-0.05,"▼ 하락","― 보합")))))</f>
        <v>■ 매출 중단</v>
      </c>
      <c r="U111" s="48"/>
    </row>
    <row r="112" customFormat="false" ht="15" hidden="false" customHeight="false" outlineLevel="0" collapsed="false">
      <c r="A112" s="21" t="n">
        <v>104</v>
      </c>
      <c r="B112" s="19" t="s">
        <v>181</v>
      </c>
      <c r="C112" s="22" t="s">
        <v>383</v>
      </c>
      <c r="D112" s="19" t="s">
        <v>384</v>
      </c>
      <c r="E112" s="46" t="n">
        <f aca="false">'주별 매출'!D50</f>
        <v>0</v>
      </c>
      <c r="F112" s="12" t="n">
        <f aca="false">AVERAGE('월별 매출'!D50:F50)</f>
        <v>44098325.6666667</v>
      </c>
      <c r="G112" s="12" t="n">
        <f aca="false">AVERAGE('월별 매출'!J50:L50)</f>
        <v>16827062.6666667</v>
      </c>
      <c r="H112" s="20" t="n">
        <f aca="false">IF(F112=0,"",G112/F112-1)</f>
        <v>-0.618419465767019</v>
      </c>
      <c r="I112" s="12" t="n">
        <f aca="false">'월별 매출'!L50</f>
        <v>0</v>
      </c>
      <c r="J112" s="20" t="str">
        <f aca="false">'월별 매출'!U50</f>
        <v/>
      </c>
      <c r="K112" s="12" t="n">
        <f aca="false">'주별 매출'!BM50</f>
        <v>0</v>
      </c>
      <c r="L112" s="20" t="str">
        <f aca="false">IF('주별 매출'!BL50=0,"",K112/'주별 매출'!BL50-1)</f>
        <v/>
      </c>
      <c r="M112" s="12" t="n">
        <f aca="false">SUM('주별 매출'!BJ50:BM50)</f>
        <v>0</v>
      </c>
      <c r="N112" s="12" t="n">
        <f aca="false">SUM('주별 매출'!BF50:BI50)</f>
        <v>0</v>
      </c>
      <c r="O112" s="20" t="str">
        <f aca="false">IF(N112=0,"",M112/N112-1)</f>
        <v/>
      </c>
      <c r="P112" s="12" t="n">
        <f aca="false">'주별 매출'!M50</f>
        <v>9248951</v>
      </c>
      <c r="Q112" s="20" t="n">
        <f aca="false">IF(P112=0,"",K112/P112-1)</f>
        <v>-1</v>
      </c>
      <c r="R112" s="20" t="n">
        <f aca="false">IF($M$8=0,"",M112/$M$8)</f>
        <v>0</v>
      </c>
      <c r="S112" s="21" t="str">
        <f aca="false">IF(AND(M112=0,N112=0),"-",IF(N112=0,"● 신규 발생",IF(M112=0,"■ 매출 중단",IF(O112&gt;=0.05,"▲ 상승",IF(O112&lt;=-0.05,"▼ 하락","― 보합")))))</f>
        <v>-</v>
      </c>
      <c r="T112" s="21" t="str">
        <f aca="false">IF(AND(F112=0,G112=0),"-",IF(F112=0,"● 신규 발생",IF(G112=0,"■ 매출 중단",IF(H112&gt;=0.05,"▲ 상승",IF(H112&lt;=-0.05,"▼ 하락","― 보합")))))</f>
        <v>▼ 하락</v>
      </c>
      <c r="U112" s="48"/>
    </row>
    <row r="113" customFormat="false" ht="15" hidden="false" customHeight="false" outlineLevel="0" collapsed="false">
      <c r="A113" s="21" t="n">
        <v>105</v>
      </c>
      <c r="B113" s="19" t="s">
        <v>181</v>
      </c>
      <c r="C113" s="22" t="s">
        <v>385</v>
      </c>
      <c r="D113" s="19" t="s">
        <v>386</v>
      </c>
      <c r="E113" s="46" t="n">
        <f aca="false">'주별 매출'!D53</f>
        <v>0</v>
      </c>
      <c r="F113" s="12" t="n">
        <f aca="false">AVERAGE('월별 매출'!D53:F53)</f>
        <v>2491970</v>
      </c>
      <c r="G113" s="12" t="n">
        <f aca="false">AVERAGE('월별 매출'!J53:L53)</f>
        <v>0</v>
      </c>
      <c r="H113" s="20" t="n">
        <f aca="false">IF(F113=0,"",G113/F113-1)</f>
        <v>-1</v>
      </c>
      <c r="I113" s="12" t="n">
        <f aca="false">'월별 매출'!L53</f>
        <v>0</v>
      </c>
      <c r="J113" s="20" t="str">
        <f aca="false">'월별 매출'!U53</f>
        <v/>
      </c>
      <c r="K113" s="12" t="n">
        <f aca="false">'주별 매출'!BM53</f>
        <v>0</v>
      </c>
      <c r="L113" s="20" t="str">
        <f aca="false">IF('주별 매출'!BL53=0,"",K113/'주별 매출'!BL53-1)</f>
        <v/>
      </c>
      <c r="M113" s="12" t="n">
        <f aca="false">SUM('주별 매출'!BJ53:BM53)</f>
        <v>0</v>
      </c>
      <c r="N113" s="12" t="n">
        <f aca="false">SUM('주별 매출'!BF53:BI53)</f>
        <v>0</v>
      </c>
      <c r="O113" s="20" t="str">
        <f aca="false">IF(N113=0,"",M113/N113-1)</f>
        <v/>
      </c>
      <c r="P113" s="12" t="n">
        <f aca="false">'주별 매출'!M53</f>
        <v>140000</v>
      </c>
      <c r="Q113" s="20" t="n">
        <f aca="false">IF(P113=0,"",K113/P113-1)</f>
        <v>-1</v>
      </c>
      <c r="R113" s="20" t="n">
        <f aca="false">IF($M$8=0,"",M113/$M$8)</f>
        <v>0</v>
      </c>
      <c r="S113" s="21" t="str">
        <f aca="false">IF(AND(M113=0,N113=0),"-",IF(N113=0,"● 신규 발생",IF(M113=0,"■ 매출 중단",IF(O113&gt;=0.05,"▲ 상승",IF(O113&lt;=-0.05,"▼ 하락","― 보합")))))</f>
        <v>-</v>
      </c>
      <c r="T113" s="21" t="str">
        <f aca="false">IF(AND(F113=0,G113=0),"-",IF(F113=0,"● 신규 발생",IF(G113=0,"■ 매출 중단",IF(H113&gt;=0.05,"▲ 상승",IF(H113&lt;=-0.05,"▼ 하락","― 보합")))))</f>
        <v>■ 매출 중단</v>
      </c>
      <c r="U113" s="48"/>
    </row>
    <row r="114" customFormat="false" ht="15" hidden="false" customHeight="false" outlineLevel="0" collapsed="false">
      <c r="A114" s="21" t="n">
        <v>106</v>
      </c>
      <c r="B114" s="19" t="s">
        <v>181</v>
      </c>
      <c r="C114" s="22" t="s">
        <v>387</v>
      </c>
      <c r="D114" s="19" t="s">
        <v>388</v>
      </c>
      <c r="E114" s="46" t="n">
        <f aca="false">'주별 매출'!D60</f>
        <v>0</v>
      </c>
      <c r="F114" s="12" t="n">
        <f aca="false">AVERAGE('월별 매출'!D60:F60)</f>
        <v>0</v>
      </c>
      <c r="G114" s="12" t="n">
        <f aca="false">AVERAGE('월별 매출'!J60:L60)</f>
        <v>0</v>
      </c>
      <c r="H114" s="20" t="str">
        <f aca="false">IF(F114=0,"",G114/F114-1)</f>
        <v/>
      </c>
      <c r="I114" s="12" t="n">
        <f aca="false">'월별 매출'!L60</f>
        <v>0</v>
      </c>
      <c r="J114" s="20" t="str">
        <f aca="false">'월별 매출'!U60</f>
        <v/>
      </c>
      <c r="K114" s="12" t="n">
        <f aca="false">'주별 매출'!BM60</f>
        <v>0</v>
      </c>
      <c r="L114" s="20" t="str">
        <f aca="false">IF('주별 매출'!BL60=0,"",K114/'주별 매출'!BL60-1)</f>
        <v/>
      </c>
      <c r="M114" s="12" t="n">
        <f aca="false">SUM('주별 매출'!BJ60:BM60)</f>
        <v>0</v>
      </c>
      <c r="N114" s="12" t="n">
        <f aca="false">SUM('주별 매출'!BF60:BI60)</f>
        <v>0</v>
      </c>
      <c r="O114" s="20" t="str">
        <f aca="false">IF(N114=0,"",M114/N114-1)</f>
        <v/>
      </c>
      <c r="P114" s="12" t="n">
        <f aca="false">'주별 매출'!M60</f>
        <v>0</v>
      </c>
      <c r="Q114" s="20" t="str">
        <f aca="false">IF(P114=0,"",K114/P114-1)</f>
        <v/>
      </c>
      <c r="R114" s="20" t="n">
        <f aca="false">IF($M$8=0,"",M114/$M$8)</f>
        <v>0</v>
      </c>
      <c r="S114" s="21" t="str">
        <f aca="false">IF(AND(M114=0,N114=0),"-",IF(N114=0,"● 신규 발생",IF(M114=0,"■ 매출 중단",IF(O114&gt;=0.05,"▲ 상승",IF(O114&lt;=-0.05,"▼ 하락","― 보합")))))</f>
        <v>-</v>
      </c>
      <c r="T114" s="21" t="str">
        <f aca="false">IF(AND(F114=0,G114=0),"-",IF(F114=0,"● 신규 발생",IF(G114=0,"■ 매출 중단",IF(H114&gt;=0.05,"▲ 상승",IF(H114&lt;=-0.05,"▼ 하락","― 보합")))))</f>
        <v>-</v>
      </c>
      <c r="U114" s="48"/>
    </row>
    <row r="115" customFormat="false" ht="15" hidden="false" customHeight="false" outlineLevel="0" collapsed="false">
      <c r="A115" s="21" t="n">
        <v>107</v>
      </c>
      <c r="B115" s="19" t="s">
        <v>181</v>
      </c>
      <c r="C115" s="22" t="s">
        <v>389</v>
      </c>
      <c r="D115" s="19" t="s">
        <v>390</v>
      </c>
      <c r="E115" s="46" t="n">
        <f aca="false">'주별 매출'!D65</f>
        <v>0</v>
      </c>
      <c r="F115" s="12" t="n">
        <f aca="false">AVERAGE('월별 매출'!D65:F65)</f>
        <v>4092110</v>
      </c>
      <c r="G115" s="12" t="n">
        <f aca="false">AVERAGE('월별 매출'!J65:L65)</f>
        <v>0</v>
      </c>
      <c r="H115" s="20" t="n">
        <f aca="false">IF(F115=0,"",G115/F115-1)</f>
        <v>-1</v>
      </c>
      <c r="I115" s="12" t="n">
        <f aca="false">'월별 매출'!L65</f>
        <v>0</v>
      </c>
      <c r="J115" s="20" t="str">
        <f aca="false">'월별 매출'!U65</f>
        <v/>
      </c>
      <c r="K115" s="12" t="n">
        <f aca="false">'주별 매출'!BM65</f>
        <v>0</v>
      </c>
      <c r="L115" s="20" t="str">
        <f aca="false">IF('주별 매출'!BL65=0,"",K115/'주별 매출'!BL65-1)</f>
        <v/>
      </c>
      <c r="M115" s="12" t="n">
        <f aca="false">SUM('주별 매출'!BJ65:BM65)</f>
        <v>0</v>
      </c>
      <c r="N115" s="12" t="n">
        <f aca="false">SUM('주별 매출'!BF65:BI65)</f>
        <v>0</v>
      </c>
      <c r="O115" s="20" t="str">
        <f aca="false">IF(N115=0,"",M115/N115-1)</f>
        <v/>
      </c>
      <c r="P115" s="12" t="n">
        <f aca="false">'주별 매출'!M65</f>
        <v>6421730</v>
      </c>
      <c r="Q115" s="20" t="n">
        <f aca="false">IF(P115=0,"",K115/P115-1)</f>
        <v>-1</v>
      </c>
      <c r="R115" s="20" t="n">
        <f aca="false">IF($M$8=0,"",M115/$M$8)</f>
        <v>0</v>
      </c>
      <c r="S115" s="21" t="str">
        <f aca="false">IF(AND(M115=0,N115=0),"-",IF(N115=0,"● 신규 발생",IF(M115=0,"■ 매출 중단",IF(O115&gt;=0.05,"▲ 상승",IF(O115&lt;=-0.05,"▼ 하락","― 보합")))))</f>
        <v>-</v>
      </c>
      <c r="T115" s="21" t="str">
        <f aca="false">IF(AND(F115=0,G115=0),"-",IF(F115=0,"● 신규 발생",IF(G115=0,"■ 매출 중단",IF(H115&gt;=0.05,"▲ 상승",IF(H115&lt;=-0.05,"▼ 하락","― 보합")))))</f>
        <v>■ 매출 중단</v>
      </c>
      <c r="U115" s="48"/>
    </row>
    <row r="116" customFormat="false" ht="15" hidden="false" customHeight="false" outlineLevel="0" collapsed="false">
      <c r="A116" s="21" t="n">
        <v>108</v>
      </c>
      <c r="B116" s="19" t="s">
        <v>181</v>
      </c>
      <c r="C116" s="22" t="s">
        <v>391</v>
      </c>
      <c r="D116" s="19" t="s">
        <v>392</v>
      </c>
      <c r="E116" s="46" t="n">
        <f aca="false">'주별 매출'!D69</f>
        <v>0</v>
      </c>
      <c r="F116" s="12" t="n">
        <f aca="false">AVERAGE('월별 매출'!D69:F69)</f>
        <v>0</v>
      </c>
      <c r="G116" s="12" t="n">
        <f aca="false">AVERAGE('월별 매출'!J69:L69)</f>
        <v>0</v>
      </c>
      <c r="H116" s="20" t="str">
        <f aca="false">IF(F116=0,"",G116/F116-1)</f>
        <v/>
      </c>
      <c r="I116" s="12" t="n">
        <f aca="false">'월별 매출'!L69</f>
        <v>0</v>
      </c>
      <c r="J116" s="20" t="str">
        <f aca="false">'월별 매출'!U69</f>
        <v/>
      </c>
      <c r="K116" s="12" t="n">
        <f aca="false">'주별 매출'!BM69</f>
        <v>0</v>
      </c>
      <c r="L116" s="20" t="str">
        <f aca="false">IF('주별 매출'!BL69=0,"",K116/'주별 매출'!BL69-1)</f>
        <v/>
      </c>
      <c r="M116" s="12" t="n">
        <f aca="false">SUM('주별 매출'!BJ69:BM69)</f>
        <v>0</v>
      </c>
      <c r="N116" s="12" t="n">
        <f aca="false">SUM('주별 매출'!BF69:BI69)</f>
        <v>0</v>
      </c>
      <c r="O116" s="20" t="str">
        <f aca="false">IF(N116=0,"",M116/N116-1)</f>
        <v/>
      </c>
      <c r="P116" s="12" t="n">
        <f aca="false">'주별 매출'!M69</f>
        <v>1051990</v>
      </c>
      <c r="Q116" s="20" t="n">
        <f aca="false">IF(P116=0,"",K116/P116-1)</f>
        <v>-1</v>
      </c>
      <c r="R116" s="20" t="n">
        <f aca="false">IF($M$8=0,"",M116/$M$8)</f>
        <v>0</v>
      </c>
      <c r="S116" s="21" t="str">
        <f aca="false">IF(AND(M116=0,N116=0),"-",IF(N116=0,"● 신규 발생",IF(M116=0,"■ 매출 중단",IF(O116&gt;=0.05,"▲ 상승",IF(O116&lt;=-0.05,"▼ 하락","― 보합")))))</f>
        <v>-</v>
      </c>
      <c r="T116" s="21" t="str">
        <f aca="false">IF(AND(F116=0,G116=0),"-",IF(F116=0,"● 신규 발생",IF(G116=0,"■ 매출 중단",IF(H116&gt;=0.05,"▲ 상승",IF(H116&lt;=-0.05,"▼ 하락","― 보합")))))</f>
        <v>-</v>
      </c>
      <c r="U116" s="48"/>
    </row>
    <row r="117" customFormat="false" ht="15" hidden="false" customHeight="false" outlineLevel="0" collapsed="false">
      <c r="A117" s="21" t="n">
        <v>109</v>
      </c>
      <c r="B117" s="19" t="s">
        <v>181</v>
      </c>
      <c r="C117" s="22" t="s">
        <v>393</v>
      </c>
      <c r="D117" s="19" t="s">
        <v>394</v>
      </c>
      <c r="E117" s="46" t="n">
        <f aca="false">'주별 매출'!D73</f>
        <v>0</v>
      </c>
      <c r="F117" s="12" t="n">
        <f aca="false">AVERAGE('월별 매출'!D73:F73)</f>
        <v>79070730</v>
      </c>
      <c r="G117" s="12" t="n">
        <f aca="false">AVERAGE('월별 매출'!J73:L73)</f>
        <v>57988640</v>
      </c>
      <c r="H117" s="20" t="n">
        <f aca="false">IF(F117=0,"",G117/F117-1)</f>
        <v>-0.266623186607737</v>
      </c>
      <c r="I117" s="12" t="n">
        <f aca="false">'월별 매출'!L73</f>
        <v>36958620</v>
      </c>
      <c r="J117" s="20" t="n">
        <f aca="false">'월별 매출'!U73</f>
        <v>-0.452075172281796</v>
      </c>
      <c r="K117" s="12" t="n">
        <f aca="false">'주별 매출'!BM73</f>
        <v>0</v>
      </c>
      <c r="L117" s="20" t="str">
        <f aca="false">IF('주별 매출'!BL73=0,"",K117/'주별 매출'!BL73-1)</f>
        <v/>
      </c>
      <c r="M117" s="12" t="n">
        <f aca="false">SUM('주별 매출'!BJ73:BM73)</f>
        <v>0</v>
      </c>
      <c r="N117" s="12" t="n">
        <f aca="false">SUM('주별 매출'!BF73:BI73)</f>
        <v>56366810</v>
      </c>
      <c r="O117" s="20" t="n">
        <f aca="false">IF(N117=0,"",M117/N117-1)</f>
        <v>-1</v>
      </c>
      <c r="P117" s="12" t="n">
        <f aca="false">'주별 매출'!M73</f>
        <v>17999020</v>
      </c>
      <c r="Q117" s="20" t="n">
        <f aca="false">IF(P117=0,"",K117/P117-1)</f>
        <v>-1</v>
      </c>
      <c r="R117" s="20" t="n">
        <f aca="false">IF($M$8=0,"",M117/$M$8)</f>
        <v>0</v>
      </c>
      <c r="S117" s="21" t="str">
        <f aca="false">IF(AND(M117=0,N117=0),"-",IF(N117=0,"● 신규 발생",IF(M117=0,"■ 매출 중단",IF(O117&gt;=0.05,"▲ 상승",IF(O117&lt;=-0.05,"▼ 하락","― 보합")))))</f>
        <v>■ 매출 중단</v>
      </c>
      <c r="T117" s="21" t="str">
        <f aca="false">IF(AND(F117=0,G117=0),"-",IF(F117=0,"● 신규 발생",IF(G117=0,"■ 매출 중단",IF(H117&gt;=0.05,"▲ 상승",IF(H117&lt;=-0.05,"▼ 하락","― 보합")))))</f>
        <v>▼ 하락</v>
      </c>
      <c r="U117" s="47" t="s">
        <v>395</v>
      </c>
    </row>
    <row r="118" customFormat="false" ht="15" hidden="false" customHeight="false" outlineLevel="0" collapsed="false">
      <c r="A118" s="21" t="n">
        <v>110</v>
      </c>
      <c r="B118" s="19" t="s">
        <v>181</v>
      </c>
      <c r="C118" s="22" t="s">
        <v>396</v>
      </c>
      <c r="D118" s="19" t="s">
        <v>397</v>
      </c>
      <c r="E118" s="46" t="n">
        <f aca="false">'주별 매출'!D76</f>
        <v>0</v>
      </c>
      <c r="F118" s="12" t="n">
        <f aca="false">AVERAGE('월별 매출'!D76:F76)</f>
        <v>0</v>
      </c>
      <c r="G118" s="12" t="n">
        <f aca="false">AVERAGE('월별 매출'!J76:L76)</f>
        <v>0</v>
      </c>
      <c r="H118" s="20" t="str">
        <f aca="false">IF(F118=0,"",G118/F118-1)</f>
        <v/>
      </c>
      <c r="I118" s="12" t="n">
        <f aca="false">'월별 매출'!L76</f>
        <v>0</v>
      </c>
      <c r="J118" s="20" t="str">
        <f aca="false">'월별 매출'!U76</f>
        <v/>
      </c>
      <c r="K118" s="12" t="n">
        <f aca="false">'주별 매출'!BM76</f>
        <v>0</v>
      </c>
      <c r="L118" s="20" t="str">
        <f aca="false">IF('주별 매출'!BL76=0,"",K118/'주별 매출'!BL76-1)</f>
        <v/>
      </c>
      <c r="M118" s="12" t="n">
        <f aca="false">SUM('주별 매출'!BJ76:BM76)</f>
        <v>0</v>
      </c>
      <c r="N118" s="12" t="n">
        <f aca="false">SUM('주별 매출'!BF76:BI76)</f>
        <v>0</v>
      </c>
      <c r="O118" s="20" t="str">
        <f aca="false">IF(N118=0,"",M118/N118-1)</f>
        <v/>
      </c>
      <c r="P118" s="12" t="n">
        <f aca="false">'주별 매출'!M76</f>
        <v>74670</v>
      </c>
      <c r="Q118" s="20" t="n">
        <f aca="false">IF(P118=0,"",K118/P118-1)</f>
        <v>-1</v>
      </c>
      <c r="R118" s="20" t="n">
        <f aca="false">IF($M$8=0,"",M118/$M$8)</f>
        <v>0</v>
      </c>
      <c r="S118" s="21" t="str">
        <f aca="false">IF(AND(M118=0,N118=0),"-",IF(N118=0,"● 신규 발생",IF(M118=0,"■ 매출 중단",IF(O118&gt;=0.05,"▲ 상승",IF(O118&lt;=-0.05,"▼ 하락","― 보합")))))</f>
        <v>-</v>
      </c>
      <c r="T118" s="21" t="str">
        <f aca="false">IF(AND(F118=0,G118=0),"-",IF(F118=0,"● 신규 발생",IF(G118=0,"■ 매출 중단",IF(H118&gt;=0.05,"▲ 상승",IF(H118&lt;=-0.05,"▼ 하락","― 보합")))))</f>
        <v>-</v>
      </c>
      <c r="U118" s="48"/>
    </row>
    <row r="119" customFormat="false" ht="15" hidden="false" customHeight="false" outlineLevel="0" collapsed="false">
      <c r="A119" s="21" t="n">
        <v>111</v>
      </c>
      <c r="B119" s="19" t="s">
        <v>181</v>
      </c>
      <c r="C119" s="22" t="s">
        <v>398</v>
      </c>
      <c r="D119" s="19" t="s">
        <v>399</v>
      </c>
      <c r="E119" s="46" t="n">
        <f aca="false">'주별 매출'!D83</f>
        <v>0</v>
      </c>
      <c r="F119" s="12" t="n">
        <f aca="false">AVERAGE('월별 매출'!D83:F83)</f>
        <v>1880000</v>
      </c>
      <c r="G119" s="12" t="n">
        <f aca="false">AVERAGE('월별 매출'!J83:L83)</f>
        <v>0</v>
      </c>
      <c r="H119" s="20" t="n">
        <f aca="false">IF(F119=0,"",G119/F119-1)</f>
        <v>-1</v>
      </c>
      <c r="I119" s="12" t="n">
        <f aca="false">'월별 매출'!L83</f>
        <v>0</v>
      </c>
      <c r="J119" s="20" t="str">
        <f aca="false">'월별 매출'!U83</f>
        <v/>
      </c>
      <c r="K119" s="12" t="n">
        <f aca="false">'주별 매출'!BM83</f>
        <v>0</v>
      </c>
      <c r="L119" s="20" t="str">
        <f aca="false">IF('주별 매출'!BL83=0,"",K119/'주별 매출'!BL83-1)</f>
        <v/>
      </c>
      <c r="M119" s="12" t="n">
        <f aca="false">SUM('주별 매출'!BJ83:BM83)</f>
        <v>0</v>
      </c>
      <c r="N119" s="12" t="n">
        <f aca="false">SUM('주별 매출'!BF83:BI83)</f>
        <v>0</v>
      </c>
      <c r="O119" s="20" t="str">
        <f aca="false">IF(N119=0,"",M119/N119-1)</f>
        <v/>
      </c>
      <c r="P119" s="12" t="n">
        <f aca="false">'주별 매출'!M83</f>
        <v>713480</v>
      </c>
      <c r="Q119" s="20" t="n">
        <f aca="false">IF(P119=0,"",K119/P119-1)</f>
        <v>-1</v>
      </c>
      <c r="R119" s="20" t="n">
        <f aca="false">IF($M$8=0,"",M119/$M$8)</f>
        <v>0</v>
      </c>
      <c r="S119" s="21" t="str">
        <f aca="false">IF(AND(M119=0,N119=0),"-",IF(N119=0,"● 신규 발생",IF(M119=0,"■ 매출 중단",IF(O119&gt;=0.05,"▲ 상승",IF(O119&lt;=-0.05,"▼ 하락","― 보합")))))</f>
        <v>-</v>
      </c>
      <c r="T119" s="21" t="str">
        <f aca="false">IF(AND(F119=0,G119=0),"-",IF(F119=0,"● 신규 발생",IF(G119=0,"■ 매출 중단",IF(H119&gt;=0.05,"▲ 상승",IF(H119&lt;=-0.05,"▼ 하락","― 보합")))))</f>
        <v>■ 매출 중단</v>
      </c>
      <c r="U119" s="48"/>
    </row>
    <row r="120" customFormat="false" ht="15" hidden="false" customHeight="false" outlineLevel="0" collapsed="false">
      <c r="A120" s="21" t="n">
        <v>112</v>
      </c>
      <c r="B120" s="19" t="s">
        <v>181</v>
      </c>
      <c r="C120" s="22" t="s">
        <v>400</v>
      </c>
      <c r="D120" s="19" t="s">
        <v>401</v>
      </c>
      <c r="E120" s="46" t="n">
        <f aca="false">'주별 매출'!D88</f>
        <v>0</v>
      </c>
      <c r="F120" s="12" t="n">
        <f aca="false">AVERAGE('월별 매출'!D88:F88)</f>
        <v>7020220</v>
      </c>
      <c r="G120" s="12" t="n">
        <f aca="false">AVERAGE('월별 매출'!J88:L88)</f>
        <v>0</v>
      </c>
      <c r="H120" s="20" t="n">
        <f aca="false">IF(F120=0,"",G120/F120-1)</f>
        <v>-1</v>
      </c>
      <c r="I120" s="12" t="n">
        <f aca="false">'월별 매출'!L88</f>
        <v>0</v>
      </c>
      <c r="J120" s="20" t="str">
        <f aca="false">'월별 매출'!U88</f>
        <v/>
      </c>
      <c r="K120" s="12" t="n">
        <f aca="false">'주별 매출'!BM88</f>
        <v>0</v>
      </c>
      <c r="L120" s="20" t="str">
        <f aca="false">IF('주별 매출'!BL88=0,"",K120/'주별 매출'!BL88-1)</f>
        <v/>
      </c>
      <c r="M120" s="12" t="n">
        <f aca="false">SUM('주별 매출'!BJ88:BM88)</f>
        <v>0</v>
      </c>
      <c r="N120" s="12" t="n">
        <f aca="false">SUM('주별 매출'!BF88:BI88)</f>
        <v>0</v>
      </c>
      <c r="O120" s="20" t="str">
        <f aca="false">IF(N120=0,"",M120/N120-1)</f>
        <v/>
      </c>
      <c r="P120" s="12" t="n">
        <f aca="false">'주별 매출'!M88</f>
        <v>6450740</v>
      </c>
      <c r="Q120" s="20" t="n">
        <f aca="false">IF(P120=0,"",K120/P120-1)</f>
        <v>-1</v>
      </c>
      <c r="R120" s="20" t="n">
        <f aca="false">IF($M$8=0,"",M120/$M$8)</f>
        <v>0</v>
      </c>
      <c r="S120" s="21" t="str">
        <f aca="false">IF(AND(M120=0,N120=0),"-",IF(N120=0,"● 신규 발생",IF(M120=0,"■ 매출 중단",IF(O120&gt;=0.05,"▲ 상승",IF(O120&lt;=-0.05,"▼ 하락","― 보합")))))</f>
        <v>-</v>
      </c>
      <c r="T120" s="21" t="str">
        <f aca="false">IF(AND(F120=0,G120=0),"-",IF(F120=0,"● 신규 발생",IF(G120=0,"■ 매출 중단",IF(H120&gt;=0.05,"▲ 상승",IF(H120&lt;=-0.05,"▼ 하락","― 보합")))))</f>
        <v>■ 매출 중단</v>
      </c>
      <c r="U120" s="48"/>
    </row>
    <row r="121" customFormat="false" ht="15" hidden="false" customHeight="false" outlineLevel="0" collapsed="false">
      <c r="A121" s="21" t="n">
        <v>113</v>
      </c>
      <c r="B121" s="19" t="s">
        <v>181</v>
      </c>
      <c r="C121" s="22" t="s">
        <v>402</v>
      </c>
      <c r="D121" s="19" t="s">
        <v>403</v>
      </c>
      <c r="E121" s="46" t="n">
        <f aca="false">'주별 매출'!D90</f>
        <v>0</v>
      </c>
      <c r="F121" s="12" t="n">
        <f aca="false">AVERAGE('월별 매출'!D90:F90)</f>
        <v>0</v>
      </c>
      <c r="G121" s="12" t="n">
        <f aca="false">AVERAGE('월별 매출'!J90:L90)</f>
        <v>0</v>
      </c>
      <c r="H121" s="20" t="str">
        <f aca="false">IF(F121=0,"",G121/F121-1)</f>
        <v/>
      </c>
      <c r="I121" s="12" t="n">
        <f aca="false">'월별 매출'!L90</f>
        <v>0</v>
      </c>
      <c r="J121" s="20" t="str">
        <f aca="false">'월별 매출'!U90</f>
        <v/>
      </c>
      <c r="K121" s="12" t="n">
        <f aca="false">'주별 매출'!BM90</f>
        <v>0</v>
      </c>
      <c r="L121" s="20" t="str">
        <f aca="false">IF('주별 매출'!BL90=0,"",K121/'주별 매출'!BL90-1)</f>
        <v/>
      </c>
      <c r="M121" s="12" t="n">
        <f aca="false">SUM('주별 매출'!BJ90:BM90)</f>
        <v>0</v>
      </c>
      <c r="N121" s="12" t="n">
        <f aca="false">SUM('주별 매출'!BF90:BI90)</f>
        <v>0</v>
      </c>
      <c r="O121" s="20" t="str">
        <f aca="false">IF(N121=0,"",M121/N121-1)</f>
        <v/>
      </c>
      <c r="P121" s="12" t="n">
        <f aca="false">'주별 매출'!M90</f>
        <v>2575569</v>
      </c>
      <c r="Q121" s="20" t="n">
        <f aca="false">IF(P121=0,"",K121/P121-1)</f>
        <v>-1</v>
      </c>
      <c r="R121" s="20" t="n">
        <f aca="false">IF($M$8=0,"",M121/$M$8)</f>
        <v>0</v>
      </c>
      <c r="S121" s="21" t="str">
        <f aca="false">IF(AND(M121=0,N121=0),"-",IF(N121=0,"● 신규 발생",IF(M121=0,"■ 매출 중단",IF(O121&gt;=0.05,"▲ 상승",IF(O121&lt;=-0.05,"▼ 하락","― 보합")))))</f>
        <v>-</v>
      </c>
      <c r="T121" s="21" t="str">
        <f aca="false">IF(AND(F121=0,G121=0),"-",IF(F121=0,"● 신규 발생",IF(G121=0,"■ 매출 중단",IF(H121&gt;=0.05,"▲ 상승",IF(H121&lt;=-0.05,"▼ 하락","― 보합")))))</f>
        <v>-</v>
      </c>
      <c r="U121" s="48"/>
    </row>
    <row r="122" customFormat="false" ht="15" hidden="false" customHeight="false" outlineLevel="0" collapsed="false">
      <c r="A122" s="21" t="n">
        <v>114</v>
      </c>
      <c r="B122" s="19" t="s">
        <v>181</v>
      </c>
      <c r="C122" s="22" t="s">
        <v>404</v>
      </c>
      <c r="D122" s="22" t="s">
        <v>405</v>
      </c>
      <c r="E122" s="46" t="n">
        <f aca="false">'주별 매출'!D94</f>
        <v>0</v>
      </c>
      <c r="F122" s="12" t="n">
        <f aca="false">AVERAGE('월별 매출'!D94:F94)</f>
        <v>0</v>
      </c>
      <c r="G122" s="12" t="n">
        <f aca="false">AVERAGE('월별 매출'!J94:L94)</f>
        <v>0</v>
      </c>
      <c r="H122" s="20" t="str">
        <f aca="false">IF(F122=0,"",G122/F122-1)</f>
        <v/>
      </c>
      <c r="I122" s="12" t="n">
        <f aca="false">'월별 매출'!L94</f>
        <v>0</v>
      </c>
      <c r="J122" s="20" t="str">
        <f aca="false">'월별 매출'!U94</f>
        <v/>
      </c>
      <c r="K122" s="12" t="n">
        <f aca="false">'주별 매출'!BM94</f>
        <v>0</v>
      </c>
      <c r="L122" s="20" t="str">
        <f aca="false">IF('주별 매출'!BL94=0,"",K122/'주별 매출'!BL94-1)</f>
        <v/>
      </c>
      <c r="M122" s="12" t="n">
        <f aca="false">SUM('주별 매출'!BJ94:BM94)</f>
        <v>0</v>
      </c>
      <c r="N122" s="12" t="n">
        <f aca="false">SUM('주별 매출'!BF94:BI94)</f>
        <v>0</v>
      </c>
      <c r="O122" s="20" t="str">
        <f aca="false">IF(N122=0,"",M122/N122-1)</f>
        <v/>
      </c>
      <c r="P122" s="12" t="n">
        <f aca="false">'주별 매출'!M94</f>
        <v>0</v>
      </c>
      <c r="Q122" s="20" t="str">
        <f aca="false">IF(P122=0,"",K122/P122-1)</f>
        <v/>
      </c>
      <c r="R122" s="20" t="n">
        <f aca="false">IF($M$8=0,"",M122/$M$8)</f>
        <v>0</v>
      </c>
      <c r="S122" s="21" t="str">
        <f aca="false">IF(AND(M122=0,N122=0),"-",IF(N122=0,"● 신규 발생",IF(M122=0,"■ 매출 중단",IF(O122&gt;=0.05,"▲ 상승",IF(O122&lt;=-0.05,"▼ 하락","― 보합")))))</f>
        <v>-</v>
      </c>
      <c r="T122" s="21" t="str">
        <f aca="false">IF(AND(F122=0,G122=0),"-",IF(F122=0,"● 신규 발생",IF(G122=0,"■ 매출 중단",IF(H122&gt;=0.05,"▲ 상승",IF(H122&lt;=-0.05,"▼ 하락","― 보합")))))</f>
        <v>-</v>
      </c>
      <c r="U122" s="48"/>
    </row>
    <row r="123" customFormat="false" ht="15" hidden="false" customHeight="false" outlineLevel="0" collapsed="false">
      <c r="A123" s="21" t="n">
        <v>115</v>
      </c>
      <c r="B123" s="19" t="s">
        <v>181</v>
      </c>
      <c r="C123" s="22" t="s">
        <v>406</v>
      </c>
      <c r="D123" s="19" t="s">
        <v>407</v>
      </c>
      <c r="E123" s="46" t="n">
        <f aca="false">'주별 매출'!D112</f>
        <v>0</v>
      </c>
      <c r="F123" s="12" t="n">
        <f aca="false">AVERAGE('월별 매출'!D112:F112)</f>
        <v>2287519.66666667</v>
      </c>
      <c r="G123" s="12" t="n">
        <f aca="false">AVERAGE('월별 매출'!J112:L112)</f>
        <v>0</v>
      </c>
      <c r="H123" s="20" t="n">
        <f aca="false">IF(F123=0,"",G123/F123-1)</f>
        <v>-1</v>
      </c>
      <c r="I123" s="12" t="n">
        <f aca="false">'월별 매출'!L112</f>
        <v>0</v>
      </c>
      <c r="J123" s="20" t="str">
        <f aca="false">'월별 매출'!U112</f>
        <v/>
      </c>
      <c r="K123" s="12" t="n">
        <f aca="false">'주별 매출'!BM112</f>
        <v>0</v>
      </c>
      <c r="L123" s="20" t="str">
        <f aca="false">IF('주별 매출'!BL112=0,"",K123/'주별 매출'!BL112-1)</f>
        <v/>
      </c>
      <c r="M123" s="12" t="n">
        <f aca="false">SUM('주별 매출'!BJ112:BM112)</f>
        <v>0</v>
      </c>
      <c r="N123" s="12" t="n">
        <f aca="false">SUM('주별 매출'!BF112:BI112)</f>
        <v>0</v>
      </c>
      <c r="O123" s="20" t="str">
        <f aca="false">IF(N123=0,"",M123/N123-1)</f>
        <v/>
      </c>
      <c r="P123" s="12" t="n">
        <f aca="false">'주별 매출'!M112</f>
        <v>0</v>
      </c>
      <c r="Q123" s="20" t="str">
        <f aca="false">IF(P123=0,"",K123/P123-1)</f>
        <v/>
      </c>
      <c r="R123" s="20" t="n">
        <f aca="false">IF($M$8=0,"",M123/$M$8)</f>
        <v>0</v>
      </c>
      <c r="S123" s="21" t="str">
        <f aca="false">IF(AND(M123=0,N123=0),"-",IF(N123=0,"● 신규 발생",IF(M123=0,"■ 매출 중단",IF(O123&gt;=0.05,"▲ 상승",IF(O123&lt;=-0.05,"▼ 하락","― 보합")))))</f>
        <v>-</v>
      </c>
      <c r="T123" s="21" t="str">
        <f aca="false">IF(AND(F123=0,G123=0),"-",IF(F123=0,"● 신규 발생",IF(G123=0,"■ 매출 중단",IF(H123&gt;=0.05,"▲ 상승",IF(H123&lt;=-0.05,"▼ 하락","― 보합")))))</f>
        <v>■ 매출 중단</v>
      </c>
      <c r="U123" s="48"/>
    </row>
    <row r="124" customFormat="false" ht="15" hidden="false" customHeight="false" outlineLevel="0" collapsed="false">
      <c r="A124" s="21" t="n">
        <v>116</v>
      </c>
      <c r="B124" s="19" t="s">
        <v>181</v>
      </c>
      <c r="C124" s="22" t="s">
        <v>408</v>
      </c>
      <c r="D124" s="22" t="s">
        <v>409</v>
      </c>
      <c r="E124" s="46" t="n">
        <f aca="false">'주별 매출'!D116</f>
        <v>0</v>
      </c>
      <c r="F124" s="12" t="n">
        <f aca="false">AVERAGE('월별 매출'!D116:F116)</f>
        <v>1342462</v>
      </c>
      <c r="G124" s="12" t="n">
        <f aca="false">AVERAGE('월별 매출'!J116:L116)</f>
        <v>0</v>
      </c>
      <c r="H124" s="20" t="n">
        <f aca="false">IF(F124=0,"",G124/F124-1)</f>
        <v>-1</v>
      </c>
      <c r="I124" s="12" t="n">
        <f aca="false">'월별 매출'!L116</f>
        <v>0</v>
      </c>
      <c r="J124" s="20" t="str">
        <f aca="false">'월별 매출'!U116</f>
        <v/>
      </c>
      <c r="K124" s="12" t="n">
        <f aca="false">'주별 매출'!BM116</f>
        <v>0</v>
      </c>
      <c r="L124" s="20" t="str">
        <f aca="false">IF('주별 매출'!BL116=0,"",K124/'주별 매출'!BL116-1)</f>
        <v/>
      </c>
      <c r="M124" s="12" t="n">
        <f aca="false">SUM('주별 매출'!BJ116:BM116)</f>
        <v>0</v>
      </c>
      <c r="N124" s="12" t="n">
        <f aca="false">SUM('주별 매출'!BF116:BI116)</f>
        <v>0</v>
      </c>
      <c r="O124" s="20" t="str">
        <f aca="false">IF(N124=0,"",M124/N124-1)</f>
        <v/>
      </c>
      <c r="P124" s="12" t="n">
        <f aca="false">'주별 매출'!M116</f>
        <v>0</v>
      </c>
      <c r="Q124" s="20" t="str">
        <f aca="false">IF(P124=0,"",K124/P124-1)</f>
        <v/>
      </c>
      <c r="R124" s="20" t="n">
        <f aca="false">IF($M$8=0,"",M124/$M$8)</f>
        <v>0</v>
      </c>
      <c r="S124" s="21" t="str">
        <f aca="false">IF(AND(M124=0,N124=0),"-",IF(N124=0,"● 신규 발생",IF(M124=0,"■ 매출 중단",IF(O124&gt;=0.05,"▲ 상승",IF(O124&lt;=-0.05,"▼ 하락","― 보합")))))</f>
        <v>-</v>
      </c>
      <c r="T124" s="21" t="str">
        <f aca="false">IF(AND(F124=0,G124=0),"-",IF(F124=0,"● 신규 발생",IF(G124=0,"■ 매출 중단",IF(H124&gt;=0.05,"▲ 상승",IF(H124&lt;=-0.05,"▼ 하락","― 보합")))))</f>
        <v>■ 매출 중단</v>
      </c>
      <c r="U124" s="48"/>
    </row>
    <row r="125" customFormat="false" ht="15" hidden="false" customHeight="false" outlineLevel="0" collapsed="false">
      <c r="A125" s="21" t="n">
        <v>117</v>
      </c>
      <c r="B125" s="19" t="s">
        <v>181</v>
      </c>
      <c r="C125" s="22" t="s">
        <v>410</v>
      </c>
      <c r="D125" s="22" t="s">
        <v>411</v>
      </c>
      <c r="E125" s="46" t="n">
        <f aca="false">'주별 매출'!D121</f>
        <v>0</v>
      </c>
      <c r="F125" s="12" t="n">
        <f aca="false">AVERAGE('월별 매출'!D121:F121)</f>
        <v>8140327.66666667</v>
      </c>
      <c r="G125" s="12" t="n">
        <f aca="false">AVERAGE('월별 매출'!J121:L121)</f>
        <v>32263.3333333333</v>
      </c>
      <c r="H125" s="20" t="n">
        <f aca="false">IF(F125=0,"",G125/F125-1)</f>
        <v>-0.99603660507851</v>
      </c>
      <c r="I125" s="12" t="n">
        <f aca="false">'월별 매출'!L121</f>
        <v>96790</v>
      </c>
      <c r="J125" s="20" t="str">
        <f aca="false">'월별 매출'!U121</f>
        <v/>
      </c>
      <c r="K125" s="12" t="n">
        <f aca="false">'주별 매출'!BM121</f>
        <v>0</v>
      </c>
      <c r="L125" s="20" t="str">
        <f aca="false">IF('주별 매출'!BL121=0,"",K125/'주별 매출'!BL121-1)</f>
        <v/>
      </c>
      <c r="M125" s="12" t="n">
        <f aca="false">SUM('주별 매출'!BJ121:BM121)</f>
        <v>0</v>
      </c>
      <c r="N125" s="12" t="n">
        <f aca="false">SUM('주별 매출'!BF121:BI121)</f>
        <v>96790</v>
      </c>
      <c r="O125" s="20" t="n">
        <f aca="false">IF(N125=0,"",M125/N125-1)</f>
        <v>-1</v>
      </c>
      <c r="P125" s="12" t="n">
        <f aca="false">'주별 매출'!M121</f>
        <v>0</v>
      </c>
      <c r="Q125" s="20" t="str">
        <f aca="false">IF(P125=0,"",K125/P125-1)</f>
        <v/>
      </c>
      <c r="R125" s="20" t="n">
        <f aca="false">IF($M$8=0,"",M125/$M$8)</f>
        <v>0</v>
      </c>
      <c r="S125" s="21" t="str">
        <f aca="false">IF(AND(M125=0,N125=0),"-",IF(N125=0,"● 신규 발생",IF(M125=0,"■ 매출 중단",IF(O125&gt;=0.05,"▲ 상승",IF(O125&lt;=-0.05,"▼ 하락","― 보합")))))</f>
        <v>■ 매출 중단</v>
      </c>
      <c r="T125" s="21" t="str">
        <f aca="false">IF(AND(F125=0,G125=0),"-",IF(F125=0,"● 신규 발생",IF(G125=0,"■ 매출 중단",IF(H125&gt;=0.05,"▲ 상승",IF(H125&lt;=-0.05,"▼ 하락","― 보합")))))</f>
        <v>▼ 하락</v>
      </c>
      <c r="U125" s="48"/>
    </row>
    <row r="126" customFormat="false" ht="15" hidden="false" customHeight="false" outlineLevel="0" collapsed="false">
      <c r="A126" s="21" t="n">
        <v>118</v>
      </c>
      <c r="B126" s="19" t="s">
        <v>181</v>
      </c>
      <c r="C126" s="22" t="s">
        <v>412</v>
      </c>
      <c r="D126" s="22" t="s">
        <v>413</v>
      </c>
      <c r="E126" s="46" t="n">
        <f aca="false">'주별 매출'!D122</f>
        <v>0</v>
      </c>
      <c r="F126" s="12" t="n">
        <f aca="false">AVERAGE('월별 매출'!D122:F122)</f>
        <v>6354890</v>
      </c>
      <c r="G126" s="12" t="n">
        <f aca="false">AVERAGE('월별 매출'!J122:L122)</f>
        <v>709466.666666667</v>
      </c>
      <c r="H126" s="20" t="n">
        <f aca="false">IF(F126=0,"",G126/F126-1)</f>
        <v>-0.888358938287419</v>
      </c>
      <c r="I126" s="12" t="n">
        <f aca="false">'월별 매출'!L122</f>
        <v>0</v>
      </c>
      <c r="J126" s="20" t="str">
        <f aca="false">'월별 매출'!U122</f>
        <v/>
      </c>
      <c r="K126" s="12" t="n">
        <f aca="false">'주별 매출'!BM122</f>
        <v>0</v>
      </c>
      <c r="L126" s="20" t="str">
        <f aca="false">IF('주별 매출'!BL122=0,"",K126/'주별 매출'!BL122-1)</f>
        <v/>
      </c>
      <c r="M126" s="12" t="n">
        <f aca="false">SUM('주별 매출'!BJ122:BM122)</f>
        <v>0</v>
      </c>
      <c r="N126" s="12" t="n">
        <f aca="false">SUM('주별 매출'!BF122:BI122)</f>
        <v>0</v>
      </c>
      <c r="O126" s="20" t="str">
        <f aca="false">IF(N126=0,"",M126/N126-1)</f>
        <v/>
      </c>
      <c r="P126" s="12" t="n">
        <f aca="false">'주별 매출'!M122</f>
        <v>0</v>
      </c>
      <c r="Q126" s="20" t="str">
        <f aca="false">IF(P126=0,"",K126/P126-1)</f>
        <v/>
      </c>
      <c r="R126" s="20" t="n">
        <f aca="false">IF($M$8=0,"",M126/$M$8)</f>
        <v>0</v>
      </c>
      <c r="S126" s="21" t="str">
        <f aca="false">IF(AND(M126=0,N126=0),"-",IF(N126=0,"● 신규 발생",IF(M126=0,"■ 매출 중단",IF(O126&gt;=0.05,"▲ 상승",IF(O126&lt;=-0.05,"▼ 하락","― 보합")))))</f>
        <v>-</v>
      </c>
      <c r="T126" s="21" t="str">
        <f aca="false">IF(AND(F126=0,G126=0),"-",IF(F126=0,"● 신규 발생",IF(G126=0,"■ 매출 중단",IF(H126&gt;=0.05,"▲ 상승",IF(H126&lt;=-0.05,"▼ 하락","― 보합")))))</f>
        <v>▼ 하락</v>
      </c>
      <c r="U126" s="48"/>
    </row>
    <row r="127" customFormat="false" ht="15" hidden="false" customHeight="false" outlineLevel="0" collapsed="false">
      <c r="A127" s="21" t="n">
        <v>119</v>
      </c>
      <c r="B127" s="19" t="s">
        <v>181</v>
      </c>
      <c r="C127" s="22" t="s">
        <v>414</v>
      </c>
      <c r="D127" s="19" t="s">
        <v>415</v>
      </c>
      <c r="E127" s="46" t="n">
        <f aca="false">'주별 매출'!D124</f>
        <v>0</v>
      </c>
      <c r="F127" s="12" t="n">
        <f aca="false">AVERAGE('월별 매출'!D124:F124)</f>
        <v>0</v>
      </c>
      <c r="G127" s="12" t="n">
        <f aca="false">AVERAGE('월별 매출'!J124:L124)</f>
        <v>0</v>
      </c>
      <c r="H127" s="20" t="str">
        <f aca="false">IF(F127=0,"",G127/F127-1)</f>
        <v/>
      </c>
      <c r="I127" s="12" t="n">
        <f aca="false">'월별 매출'!L124</f>
        <v>0</v>
      </c>
      <c r="J127" s="20" t="str">
        <f aca="false">'월별 매출'!U124</f>
        <v/>
      </c>
      <c r="K127" s="12" t="n">
        <f aca="false">'주별 매출'!BM124</f>
        <v>0</v>
      </c>
      <c r="L127" s="20" t="str">
        <f aca="false">IF('주별 매출'!BL124=0,"",K127/'주별 매출'!BL124-1)</f>
        <v/>
      </c>
      <c r="M127" s="12" t="n">
        <f aca="false">SUM('주별 매출'!BJ124:BM124)</f>
        <v>0</v>
      </c>
      <c r="N127" s="12" t="n">
        <f aca="false">SUM('주별 매출'!BF124:BI124)</f>
        <v>0</v>
      </c>
      <c r="O127" s="20" t="str">
        <f aca="false">IF(N127=0,"",M127/N127-1)</f>
        <v/>
      </c>
      <c r="P127" s="12" t="n">
        <f aca="false">'주별 매출'!M124</f>
        <v>0</v>
      </c>
      <c r="Q127" s="20" t="str">
        <f aca="false">IF(P127=0,"",K127/P127-1)</f>
        <v/>
      </c>
      <c r="R127" s="20" t="n">
        <f aca="false">IF($M$8=0,"",M127/$M$8)</f>
        <v>0</v>
      </c>
      <c r="S127" s="21" t="str">
        <f aca="false">IF(AND(M127=0,N127=0),"-",IF(N127=0,"● 신규 발생",IF(M127=0,"■ 매출 중단",IF(O127&gt;=0.05,"▲ 상승",IF(O127&lt;=-0.05,"▼ 하락","― 보합")))))</f>
        <v>-</v>
      </c>
      <c r="T127" s="21" t="str">
        <f aca="false">IF(AND(F127=0,G127=0),"-",IF(F127=0,"● 신규 발생",IF(G127=0,"■ 매출 중단",IF(H127&gt;=0.05,"▲ 상승",IF(H127&lt;=-0.05,"▼ 하락","― 보합")))))</f>
        <v>-</v>
      </c>
      <c r="U127" s="48"/>
    </row>
    <row r="128" customFormat="false" ht="15" hidden="false" customHeight="false" outlineLevel="0" collapsed="false">
      <c r="A128" s="21" t="n">
        <v>120</v>
      </c>
      <c r="B128" s="19" t="s">
        <v>181</v>
      </c>
      <c r="C128" s="22" t="s">
        <v>416</v>
      </c>
      <c r="D128" s="19" t="s">
        <v>417</v>
      </c>
      <c r="E128" s="46" t="n">
        <f aca="false">'주별 매출'!D47</f>
        <v>31</v>
      </c>
      <c r="F128" s="12" t="n">
        <f aca="false">AVERAGE('월별 매출'!D47:F47)</f>
        <v>45311776</v>
      </c>
      <c r="G128" s="12" t="n">
        <f aca="false">AVERAGE('월별 매출'!J47:L47)</f>
        <v>60300913</v>
      </c>
      <c r="H128" s="20" t="n">
        <f aca="false">IF(F128=0,"",G128/F128-1)</f>
        <v>0.330800033086322</v>
      </c>
      <c r="I128" s="12" t="n">
        <f aca="false">'월별 매출'!L47</f>
        <v>8477431</v>
      </c>
      <c r="J128" s="20" t="n">
        <f aca="false">'월별 매출'!U47</f>
        <v>-0.902576761345472</v>
      </c>
      <c r="K128" s="12" t="n">
        <f aca="false">'주별 매출'!BM47</f>
        <v>12979195</v>
      </c>
      <c r="L128" s="20" t="n">
        <f aca="false">IF('주별 매출'!BL47=0,"",K128/'주별 매출'!BL47-1)</f>
        <v>0.739140018298281</v>
      </c>
      <c r="M128" s="12" t="n">
        <f aca="false">SUM('주별 매출'!BJ47:BM47)</f>
        <v>-34404335</v>
      </c>
      <c r="N128" s="12" t="n">
        <f aca="false">SUM('주별 매출'!BF47:BI47)</f>
        <v>110744776</v>
      </c>
      <c r="O128" s="20" t="n">
        <f aca="false">IF(N128=0,"",M128/N128-1)</f>
        <v>-1.3106632767942</v>
      </c>
      <c r="P128" s="12" t="n">
        <f aca="false">'주별 매출'!M47</f>
        <v>12852518</v>
      </c>
      <c r="Q128" s="20" t="n">
        <f aca="false">IF(P128=0,"",K128/P128-1)</f>
        <v>0.00985620094054718</v>
      </c>
      <c r="R128" s="20" t="n">
        <f aca="false">IF($M$8=0,"",M128/$M$8)</f>
        <v>-0.0017234932226433</v>
      </c>
      <c r="S128" s="21" t="str">
        <f aca="false">IF(AND(M128=0,N128=0),"-",IF(N128=0,"● 신규 발생",IF(M128=0,"■ 매출 중단",IF(O128&gt;=0.05,"▲ 상승",IF(O128&lt;=-0.05,"▼ 하락","― 보합")))))</f>
        <v>▼ 하락</v>
      </c>
      <c r="T128" s="21" t="str">
        <f aca="false">IF(AND(F128=0,G128=0),"-",IF(F128=0,"● 신규 발생",IF(G128=0,"■ 매출 중단",IF(H128&gt;=0.05,"▲ 상승",IF(H128&lt;=-0.05,"▼ 하락","― 보합")))))</f>
        <v>▲ 상승</v>
      </c>
      <c r="U128" s="47" t="s">
        <v>418</v>
      </c>
    </row>
    <row r="130" customFormat="false" ht="15" hidden="false" customHeight="false" outlineLevel="0" collapsed="false">
      <c r="A130" s="49" t="s">
        <v>419</v>
      </c>
    </row>
    <row r="131" customFormat="false" ht="15" hidden="false" customHeight="false" outlineLevel="0" collapsed="false">
      <c r="A131" s="50" t="s">
        <v>420</v>
      </c>
    </row>
    <row r="132" customFormat="false" ht="15" hidden="false" customHeight="false" outlineLevel="0" collapsed="false">
      <c r="A132" s="50" t="s">
        <v>421</v>
      </c>
    </row>
    <row r="133" customFormat="false" ht="15" hidden="false" customHeight="false" outlineLevel="0" collapsed="false">
      <c r="A133" s="50" t="s">
        <v>422</v>
      </c>
    </row>
    <row r="134" customFormat="false" ht="15" hidden="false" customHeight="false" outlineLevel="0" collapsed="false">
      <c r="A134" s="50" t="s">
        <v>423</v>
      </c>
    </row>
  </sheetData>
  <autoFilter ref="A7:U128"/>
  <mergeCells count="12">
    <mergeCell ref="B3:C3"/>
    <mergeCell ref="D3:E3"/>
    <mergeCell ref="F3:G3"/>
    <mergeCell ref="H3:I3"/>
    <mergeCell ref="J3:K3"/>
    <mergeCell ref="L3:M3"/>
    <mergeCell ref="B4:C4"/>
    <mergeCell ref="D4:E4"/>
    <mergeCell ref="F4:G4"/>
    <mergeCell ref="H4:I4"/>
    <mergeCell ref="J4:K4"/>
    <mergeCell ref="L4:M4"/>
  </mergeCells>
  <conditionalFormatting sqref="H8:H128">
    <cfRule type="cellIs" priority="2" operator="greaterThanOrEqual" aboveAverage="0" equalAverage="0" bottom="0" percent="0" rank="0" text="" dxfId="0">
      <formula>0.05</formula>
    </cfRule>
    <cfRule type="cellIs" priority="3" operator="lessThanOrEqual" aboveAverage="0" equalAverage="0" bottom="0" percent="0" rank="0" text="" dxfId="1">
      <formula>-0.05</formula>
    </cfRule>
  </conditionalFormatting>
  <conditionalFormatting sqref="J8:J128">
    <cfRule type="cellIs" priority="4" operator="greaterThanOrEqual" aboveAverage="0" equalAverage="0" bottom="0" percent="0" rank="0" text="" dxfId="0">
      <formula>0.05</formula>
    </cfRule>
    <cfRule type="cellIs" priority="5" operator="lessThanOrEqual" aboveAverage="0" equalAverage="0" bottom="0" percent="0" rank="0" text="" dxfId="1">
      <formula>-0.05</formula>
    </cfRule>
  </conditionalFormatting>
  <conditionalFormatting sqref="L8:L128">
    <cfRule type="cellIs" priority="6" operator="greaterThanOrEqual" aboveAverage="0" equalAverage="0" bottom="0" percent="0" rank="0" text="" dxfId="0">
      <formula>0.05</formula>
    </cfRule>
    <cfRule type="cellIs" priority="7" operator="lessThanOrEqual" aboveAverage="0" equalAverage="0" bottom="0" percent="0" rank="0" text="" dxfId="1">
      <formula>-0.05</formula>
    </cfRule>
  </conditionalFormatting>
  <conditionalFormatting sqref="O8:O128">
    <cfRule type="cellIs" priority="8" operator="greaterThanOrEqual" aboveAverage="0" equalAverage="0" bottom="0" percent="0" rank="0" text="" dxfId="0">
      <formula>0.05</formula>
    </cfRule>
    <cfRule type="cellIs" priority="9" operator="lessThanOrEqual" aboveAverage="0" equalAverage="0" bottom="0" percent="0" rank="0" text="" dxfId="1">
      <formula>-0.05</formula>
    </cfRule>
  </conditionalFormatting>
  <conditionalFormatting sqref="Q8:Q128">
    <cfRule type="cellIs" priority="10" operator="greaterThanOrEqual" aboveAverage="0" equalAverage="0" bottom="0" percent="0" rank="0" text="" dxfId="0">
      <formula>0.05</formula>
    </cfRule>
    <cfRule type="cellIs" priority="11" operator="lessThanOrEqual" aboveAverage="0" equalAverage="0" bottom="0" percent="0" rank="0" text="" dxfId="1">
      <formula>-0.05</formula>
    </cfRule>
  </conditionalFormatting>
  <conditionalFormatting sqref="S9:S128">
    <cfRule type="expression" priority="12" aboveAverage="0" equalAverage="0" bottom="0" percent="0" rank="0" text="" dxfId="15">
      <formula>LEFT(S9,1)="▲"</formula>
    </cfRule>
    <cfRule type="expression" priority="13" aboveAverage="0" equalAverage="0" bottom="0" percent="0" rank="0" text="" dxfId="16">
      <formula>LEFT(S9,1)="▼"</formula>
    </cfRule>
    <cfRule type="expression" priority="14" aboveAverage="0" equalAverage="0" bottom="0" percent="0" rank="0" text="" dxfId="17">
      <formula>LEFT(S9,1)="■"</formula>
    </cfRule>
    <cfRule type="expression" priority="15" aboveAverage="0" equalAverage="0" bottom="0" percent="0" rank="0" text="" dxfId="18">
      <formula>LEFT(S9,1)="●"</formula>
    </cfRule>
  </conditionalFormatting>
  <conditionalFormatting sqref="T9:T128">
    <cfRule type="expression" priority="16" aboveAverage="0" equalAverage="0" bottom="0" percent="0" rank="0" text="" dxfId="15">
      <formula>LEFT(T9,1)="▲"</formula>
    </cfRule>
    <cfRule type="expression" priority="17" aboveAverage="0" equalAverage="0" bottom="0" percent="0" rank="0" text="" dxfId="16">
      <formula>LEFT(T9,1)="▼"</formula>
    </cfRule>
    <cfRule type="expression" priority="18" aboveAverage="0" equalAverage="0" bottom="0" percent="0" rank="0" text="" dxfId="17">
      <formula>LEFT(T9,1)="■"</formula>
    </cfRule>
    <cfRule type="expression" priority="19" aboveAverage="0" equalAverage="0" bottom="0" percent="0" rank="0" text="" dxfId="18">
      <formula>LEFT(T9,1)="●"</formula>
    </cfRule>
  </conditionalFormatting>
  <conditionalFormatting sqref="R9:R128">
    <cfRule type="dataBar" priority="20">
      <dataBar showValue="1" minLength="10" maxLength="90">
        <cfvo type="num" val="0"/>
        <cfvo type="max" val="0"/>
        <color rgb="FF5B9BD5"/>
      </dataBar>
      <extLst>
        <ext xmlns:x14="http://schemas.microsoft.com/office/spreadsheetml/2009/9/main" uri="{B025F937-C7B1-47D3-B67F-A62EFF666E3E}">
          <x14:id>{F83821F6-DA2C-446C-B5C8-7BB2B062EE2E}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83821F6-DA2C-446C-B5C8-7BB2B062EE2E}">
            <x14:dataBar minLength="10" maxLength="90" axisPosition="none" gradient="true">
              <x14:cfvo type="num">
                <xm:f>0</xm:f>
              </x14:cfvo>
              <x14:cfvo type="max"/>
              <x14:negativeFillColor rgb="FF5B9BD5"/>
              <x14:axisColor rgb="FF000000"/>
            </x14:dataBar>
          </x14:cfRule>
          <xm:sqref>R9:R128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M1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65" min="5" style="0" width="12"/>
  </cols>
  <sheetData>
    <row r="1" customFormat="false" ht="16.4" hidden="false" customHeight="false" outlineLevel="0" collapsed="false">
      <c r="A1" s="51" t="s">
        <v>424</v>
      </c>
    </row>
    <row r="3" customFormat="false" ht="26.85" hidden="false" customHeight="true" outlineLevel="0" collapsed="false">
      <c r="A3" s="9" t="s">
        <v>14</v>
      </c>
      <c r="B3" s="9" t="s">
        <v>162</v>
      </c>
      <c r="C3" s="9" t="s">
        <v>53</v>
      </c>
      <c r="D3" s="9" t="s">
        <v>163</v>
      </c>
      <c r="E3" s="10" t="s">
        <v>425</v>
      </c>
      <c r="F3" s="10" t="s">
        <v>426</v>
      </c>
      <c r="G3" s="10" t="s">
        <v>427</v>
      </c>
      <c r="H3" s="10" t="s">
        <v>428</v>
      </c>
      <c r="I3" s="10" t="s">
        <v>429</v>
      </c>
      <c r="J3" s="10" t="s">
        <v>430</v>
      </c>
      <c r="K3" s="10" t="s">
        <v>431</v>
      </c>
      <c r="L3" s="10" t="s">
        <v>432</v>
      </c>
      <c r="M3" s="10" t="s">
        <v>433</v>
      </c>
      <c r="N3" s="10" t="s">
        <v>434</v>
      </c>
      <c r="O3" s="10" t="s">
        <v>435</v>
      </c>
      <c r="P3" s="10" t="s">
        <v>436</v>
      </c>
      <c r="Q3" s="10" t="s">
        <v>437</v>
      </c>
      <c r="R3" s="10" t="s">
        <v>438</v>
      </c>
      <c r="S3" s="10" t="s">
        <v>439</v>
      </c>
      <c r="T3" s="10" t="s">
        <v>440</v>
      </c>
      <c r="U3" s="10" t="s">
        <v>441</v>
      </c>
      <c r="V3" s="10" t="s">
        <v>442</v>
      </c>
      <c r="W3" s="10" t="s">
        <v>443</v>
      </c>
      <c r="X3" s="10" t="s">
        <v>444</v>
      </c>
      <c r="Y3" s="10" t="s">
        <v>445</v>
      </c>
      <c r="Z3" s="10" t="s">
        <v>446</v>
      </c>
      <c r="AA3" s="10" t="s">
        <v>447</v>
      </c>
      <c r="AB3" s="10" t="s">
        <v>448</v>
      </c>
      <c r="AC3" s="10" t="s">
        <v>449</v>
      </c>
      <c r="AD3" s="10" t="s">
        <v>450</v>
      </c>
      <c r="AE3" s="10" t="s">
        <v>451</v>
      </c>
      <c r="AF3" s="10" t="s">
        <v>452</v>
      </c>
      <c r="AG3" s="10" t="s">
        <v>453</v>
      </c>
      <c r="AH3" s="10" t="s">
        <v>454</v>
      </c>
      <c r="AI3" s="10" t="s">
        <v>455</v>
      </c>
      <c r="AJ3" s="10" t="s">
        <v>456</v>
      </c>
      <c r="AK3" s="10" t="s">
        <v>457</v>
      </c>
      <c r="AL3" s="10" t="s">
        <v>458</v>
      </c>
      <c r="AM3" s="10" t="s">
        <v>459</v>
      </c>
      <c r="AN3" s="10" t="s">
        <v>460</v>
      </c>
      <c r="AO3" s="10" t="s">
        <v>461</v>
      </c>
      <c r="AP3" s="10" t="s">
        <v>462</v>
      </c>
      <c r="AQ3" s="10" t="s">
        <v>463</v>
      </c>
      <c r="AR3" s="10" t="s">
        <v>464</v>
      </c>
      <c r="AS3" s="10" t="s">
        <v>465</v>
      </c>
      <c r="AT3" s="10" t="s">
        <v>466</v>
      </c>
      <c r="AU3" s="10" t="s">
        <v>467</v>
      </c>
      <c r="AV3" s="10" t="s">
        <v>468</v>
      </c>
      <c r="AW3" s="10" t="s">
        <v>469</v>
      </c>
      <c r="AX3" s="10" t="s">
        <v>470</v>
      </c>
      <c r="AY3" s="10" t="s">
        <v>471</v>
      </c>
      <c r="AZ3" s="10" t="s">
        <v>472</v>
      </c>
      <c r="BA3" s="10" t="s">
        <v>473</v>
      </c>
      <c r="BB3" s="10" t="s">
        <v>474</v>
      </c>
      <c r="BC3" s="10" t="s">
        <v>475</v>
      </c>
      <c r="BD3" s="10" t="s">
        <v>476</v>
      </c>
      <c r="BE3" s="10" t="s">
        <v>477</v>
      </c>
      <c r="BF3" s="10" t="s">
        <v>478</v>
      </c>
      <c r="BG3" s="10" t="s">
        <v>479</v>
      </c>
      <c r="BH3" s="10" t="s">
        <v>480</v>
      </c>
      <c r="BI3" s="10" t="s">
        <v>481</v>
      </c>
      <c r="BJ3" s="10" t="s">
        <v>482</v>
      </c>
      <c r="BK3" s="10" t="s">
        <v>483</v>
      </c>
      <c r="BL3" s="10" t="s">
        <v>484</v>
      </c>
      <c r="BM3" s="10" t="s">
        <v>485</v>
      </c>
    </row>
    <row r="4" customFormat="false" ht="15" hidden="false" customHeight="false" outlineLevel="0" collapsed="false">
      <c r="A4" s="9"/>
      <c r="B4" s="9"/>
      <c r="C4" s="9"/>
      <c r="D4" s="9"/>
      <c r="E4" s="10" t="s">
        <v>486</v>
      </c>
      <c r="F4" s="10" t="s">
        <v>487</v>
      </c>
      <c r="G4" s="10" t="s">
        <v>488</v>
      </c>
      <c r="H4" s="10" t="s">
        <v>489</v>
      </c>
      <c r="I4" s="10" t="s">
        <v>490</v>
      </c>
      <c r="J4" s="10" t="s">
        <v>491</v>
      </c>
      <c r="K4" s="10" t="s">
        <v>492</v>
      </c>
      <c r="L4" s="10" t="s">
        <v>493</v>
      </c>
      <c r="M4" s="10" t="s">
        <v>494</v>
      </c>
      <c r="N4" s="10" t="s">
        <v>495</v>
      </c>
      <c r="O4" s="10" t="s">
        <v>496</v>
      </c>
      <c r="P4" s="10" t="s">
        <v>497</v>
      </c>
      <c r="Q4" s="10" t="s">
        <v>498</v>
      </c>
      <c r="R4" s="10" t="s">
        <v>499</v>
      </c>
      <c r="S4" s="10" t="s">
        <v>500</v>
      </c>
      <c r="T4" s="10" t="s">
        <v>501</v>
      </c>
      <c r="U4" s="10" t="s">
        <v>502</v>
      </c>
      <c r="V4" s="10" t="s">
        <v>503</v>
      </c>
      <c r="W4" s="10" t="s">
        <v>504</v>
      </c>
      <c r="X4" s="10" t="s">
        <v>505</v>
      </c>
      <c r="Y4" s="10" t="s">
        <v>506</v>
      </c>
      <c r="Z4" s="10" t="s">
        <v>507</v>
      </c>
      <c r="AA4" s="10" t="s">
        <v>508</v>
      </c>
      <c r="AB4" s="10" t="s">
        <v>509</v>
      </c>
      <c r="AC4" s="10" t="s">
        <v>510</v>
      </c>
      <c r="AD4" s="10" t="s">
        <v>511</v>
      </c>
      <c r="AE4" s="10" t="s">
        <v>512</v>
      </c>
      <c r="AF4" s="10" t="s">
        <v>513</v>
      </c>
      <c r="AG4" s="10" t="s">
        <v>514</v>
      </c>
      <c r="AH4" s="10" t="s">
        <v>515</v>
      </c>
      <c r="AI4" s="10" t="s">
        <v>516</v>
      </c>
      <c r="AJ4" s="10" t="s">
        <v>517</v>
      </c>
      <c r="AK4" s="10" t="s">
        <v>518</v>
      </c>
      <c r="AL4" s="10" t="s">
        <v>519</v>
      </c>
      <c r="AM4" s="10" t="s">
        <v>520</v>
      </c>
      <c r="AN4" s="10" t="s">
        <v>521</v>
      </c>
      <c r="AO4" s="10" t="s">
        <v>522</v>
      </c>
      <c r="AP4" s="10" t="s">
        <v>523</v>
      </c>
      <c r="AQ4" s="10" t="s">
        <v>524</v>
      </c>
      <c r="AR4" s="10" t="s">
        <v>525</v>
      </c>
      <c r="AS4" s="10" t="s">
        <v>526</v>
      </c>
      <c r="AT4" s="10" t="s">
        <v>527</v>
      </c>
      <c r="AU4" s="10" t="s">
        <v>528</v>
      </c>
      <c r="AV4" s="10" t="s">
        <v>529</v>
      </c>
      <c r="AW4" s="10" t="s">
        <v>530</v>
      </c>
      <c r="AX4" s="10" t="s">
        <v>531</v>
      </c>
      <c r="AY4" s="10" t="s">
        <v>532</v>
      </c>
      <c r="AZ4" s="10" t="s">
        <v>533</v>
      </c>
      <c r="BA4" s="10" t="s">
        <v>534</v>
      </c>
      <c r="BB4" s="10" t="s">
        <v>535</v>
      </c>
      <c r="BC4" s="10" t="s">
        <v>536</v>
      </c>
      <c r="BD4" s="10" t="s">
        <v>537</v>
      </c>
      <c r="BE4" s="10" t="s">
        <v>538</v>
      </c>
      <c r="BF4" s="10" t="s">
        <v>539</v>
      </c>
      <c r="BG4" s="10" t="s">
        <v>540</v>
      </c>
      <c r="BH4" s="10" t="s">
        <v>541</v>
      </c>
      <c r="BI4" s="10" t="s">
        <v>542</v>
      </c>
      <c r="BJ4" s="10" t="s">
        <v>543</v>
      </c>
      <c r="BK4" s="10" t="s">
        <v>544</v>
      </c>
      <c r="BL4" s="10" t="s">
        <v>545</v>
      </c>
      <c r="BM4" s="10" t="s">
        <v>546</v>
      </c>
    </row>
    <row r="5" customFormat="false" ht="15" hidden="false" customHeight="false" outlineLevel="0" collapsed="false">
      <c r="A5" s="41" t="s">
        <v>547</v>
      </c>
      <c r="B5" s="40"/>
      <c r="C5" s="40"/>
      <c r="D5" s="42" t="n">
        <f aca="false">SUM(D6:D125)</f>
        <v>3976</v>
      </c>
      <c r="E5" s="42" t="n">
        <f aca="false">SUM(E6:E125)</f>
        <v>4135515239</v>
      </c>
      <c r="F5" s="42" t="n">
        <f aca="false">SUM(F6:F125)</f>
        <v>4111175183</v>
      </c>
      <c r="G5" s="42" t="n">
        <f aca="false">SUM(G6:G125)</f>
        <v>4616874818</v>
      </c>
      <c r="H5" s="42" t="n">
        <f aca="false">SUM(H6:H125)</f>
        <v>4473570554</v>
      </c>
      <c r="I5" s="42" t="n">
        <f aca="false">SUM(I6:I125)</f>
        <v>4407015120</v>
      </c>
      <c r="J5" s="42" t="n">
        <f aca="false">SUM(J6:J125)</f>
        <v>4604880979</v>
      </c>
      <c r="K5" s="42" t="n">
        <f aca="false">SUM(K6:K125)</f>
        <v>6937220576</v>
      </c>
      <c r="L5" s="42" t="n">
        <f aca="false">SUM(L6:L125)</f>
        <v>2869904601</v>
      </c>
      <c r="M5" s="42" t="n">
        <f aca="false">SUM(M6:M125)</f>
        <v>4036154931</v>
      </c>
      <c r="N5" s="42" t="n">
        <f aca="false">SUM(N6:N125)</f>
        <v>4394181342</v>
      </c>
      <c r="O5" s="42" t="n">
        <f aca="false">SUM(O6:O125)</f>
        <v>4364829181</v>
      </c>
      <c r="P5" s="42" t="n">
        <f aca="false">SUM(P6:P125)</f>
        <v>4543989920</v>
      </c>
      <c r="Q5" s="42" t="n">
        <f aca="false">SUM(Q6:Q125)</f>
        <v>4607661306</v>
      </c>
      <c r="R5" s="42" t="n">
        <f aca="false">SUM(R6:R125)</f>
        <v>4547242879</v>
      </c>
      <c r="S5" s="42" t="n">
        <f aca="false">SUM(S6:S125)</f>
        <v>4483203621</v>
      </c>
      <c r="T5" s="42" t="n">
        <f aca="false">SUM(T6:T125)</f>
        <v>4521245079</v>
      </c>
      <c r="U5" s="42" t="n">
        <f aca="false">SUM(U6:U125)</f>
        <v>4557058164</v>
      </c>
      <c r="V5" s="42" t="n">
        <f aca="false">SUM(V6:V125)</f>
        <v>4831889871</v>
      </c>
      <c r="W5" s="42" t="n">
        <f aca="false">SUM(W6:W125)</f>
        <v>5255569601</v>
      </c>
      <c r="X5" s="42" t="n">
        <f aca="false">SUM(X6:X125)</f>
        <v>5231481385</v>
      </c>
      <c r="Y5" s="42" t="n">
        <f aca="false">SUM(Y6:Y125)</f>
        <v>5027262331</v>
      </c>
      <c r="Z5" s="42" t="n">
        <f aca="false">SUM(Z6:Z125)</f>
        <v>4757114797</v>
      </c>
      <c r="AA5" s="42" t="n">
        <f aca="false">SUM(AA6:AA125)</f>
        <v>4767824283</v>
      </c>
      <c r="AB5" s="42" t="n">
        <f aca="false">SUM(AB6:AB125)</f>
        <v>4356924134</v>
      </c>
      <c r="AC5" s="42" t="n">
        <f aca="false">SUM(AC6:AC125)</f>
        <v>4929485856</v>
      </c>
      <c r="AD5" s="42" t="n">
        <f aca="false">SUM(AD6:AD125)</f>
        <v>6098018314</v>
      </c>
      <c r="AE5" s="42" t="n">
        <f aca="false">SUM(AE6:AE125)</f>
        <v>3561961813</v>
      </c>
      <c r="AF5" s="42" t="n">
        <f aca="false">SUM(AF6:AF125)</f>
        <v>4695981589</v>
      </c>
      <c r="AG5" s="42" t="n">
        <f aca="false">SUM(AG6:AG125)</f>
        <v>5078740139</v>
      </c>
      <c r="AH5" s="42" t="n">
        <f aca="false">SUM(AH6:AH125)</f>
        <v>4786654979</v>
      </c>
      <c r="AI5" s="42" t="n">
        <f aca="false">SUM(AI6:AI125)</f>
        <v>4908709908</v>
      </c>
      <c r="AJ5" s="42" t="n">
        <f aca="false">SUM(AJ6:AJ125)</f>
        <v>4954111127</v>
      </c>
      <c r="AK5" s="42" t="n">
        <f aca="false">SUM(AK6:AK125)</f>
        <v>4806252353</v>
      </c>
      <c r="AL5" s="42" t="n">
        <f aca="false">SUM(AL6:AL125)</f>
        <v>5110068153</v>
      </c>
      <c r="AM5" s="42" t="n">
        <f aca="false">SUM(AM6:AM125)</f>
        <v>4948507755</v>
      </c>
      <c r="AN5" s="42" t="n">
        <f aca="false">SUM(AN6:AN125)</f>
        <v>4900146657</v>
      </c>
      <c r="AO5" s="42" t="n">
        <f aca="false">SUM(AO6:AO125)</f>
        <v>5381221533</v>
      </c>
      <c r="AP5" s="42" t="n">
        <f aca="false">SUM(AP6:AP125)</f>
        <v>5519570930</v>
      </c>
      <c r="AQ5" s="42" t="n">
        <f aca="false">SUM(AQ6:AQ125)</f>
        <v>5198739737</v>
      </c>
      <c r="AR5" s="42" t="n">
        <f aca="false">SUM(AR6:AR125)</f>
        <v>5392800603</v>
      </c>
      <c r="AS5" s="42" t="n">
        <f aca="false">SUM(AS6:AS125)</f>
        <v>4945660231</v>
      </c>
      <c r="AT5" s="42" t="n">
        <f aca="false">SUM(AT6:AT125)</f>
        <v>5632765671</v>
      </c>
      <c r="AU5" s="42" t="n">
        <f aca="false">SUM(AU6:AU125)</f>
        <v>5035703418</v>
      </c>
      <c r="AV5" s="42" t="n">
        <f aca="false">SUM(AV6:AV125)</f>
        <v>5255320533</v>
      </c>
      <c r="AW5" s="42" t="n">
        <f aca="false">SUM(AW6:AW125)</f>
        <v>5457686838</v>
      </c>
      <c r="AX5" s="42" t="n">
        <f aca="false">SUM(AX6:AX125)</f>
        <v>5263022607</v>
      </c>
      <c r="AY5" s="42" t="n">
        <f aca="false">SUM(AY6:AY125)</f>
        <v>5440375776</v>
      </c>
      <c r="AZ5" s="42" t="n">
        <f aca="false">SUM(AZ6:AZ125)</f>
        <v>5718956031</v>
      </c>
      <c r="BA5" s="42" t="n">
        <f aca="false">SUM(BA6:BA125)</f>
        <v>5412485247</v>
      </c>
      <c r="BB5" s="42" t="n">
        <f aca="false">SUM(BB6:BB125)</f>
        <v>5116022570</v>
      </c>
      <c r="BC5" s="42" t="n">
        <f aca="false">SUM(BC6:BC125)</f>
        <v>5678773562</v>
      </c>
      <c r="BD5" s="42" t="n">
        <f aca="false">SUM(BD6:BD125)</f>
        <v>5658180475</v>
      </c>
      <c r="BE5" s="42" t="n">
        <f aca="false">SUM(BE6:BE125)</f>
        <v>5279409541</v>
      </c>
      <c r="BF5" s="42" t="n">
        <f aca="false">SUM(BF6:BF125)</f>
        <v>5161666136</v>
      </c>
      <c r="BG5" s="42" t="n">
        <f aca="false">SUM(BG6:BG125)</f>
        <v>5081197708</v>
      </c>
      <c r="BH5" s="42" t="n">
        <f aca="false">SUM(BH6:BH125)</f>
        <v>5077284203</v>
      </c>
      <c r="BI5" s="42" t="n">
        <f aca="false">SUM(BI6:BI125)</f>
        <v>5288478090</v>
      </c>
      <c r="BJ5" s="42" t="n">
        <f aca="false">SUM(BJ6:BJ125)</f>
        <v>5453822902</v>
      </c>
      <c r="BK5" s="42" t="n">
        <f aca="false">SUM(BK6:BK125)</f>
        <v>4386736273</v>
      </c>
      <c r="BL5" s="42" t="n">
        <f aca="false">SUM(BL6:BL125)</f>
        <v>5110680458</v>
      </c>
      <c r="BM5" s="42" t="n">
        <f aca="false">SUM(BM6:BM125)</f>
        <v>5010739067</v>
      </c>
    </row>
    <row r="6" customFormat="false" ht="15" hidden="false" customHeight="false" outlineLevel="0" collapsed="false">
      <c r="A6" s="19" t="s">
        <v>183</v>
      </c>
      <c r="B6" s="22" t="s">
        <v>300</v>
      </c>
      <c r="C6" s="19" t="s">
        <v>301</v>
      </c>
      <c r="D6" s="52" t="n">
        <v>6</v>
      </c>
      <c r="E6" s="52" t="n">
        <v>0</v>
      </c>
      <c r="F6" s="52" t="n">
        <v>0</v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2" t="n">
        <v>3877782</v>
      </c>
      <c r="X6" s="52" t="n">
        <v>6575320</v>
      </c>
      <c r="Y6" s="52" t="n">
        <v>4694590</v>
      </c>
      <c r="Z6" s="52" t="n">
        <v>7638080</v>
      </c>
      <c r="AA6" s="52" t="n">
        <v>7099840</v>
      </c>
      <c r="AB6" s="52" t="n">
        <v>5662332</v>
      </c>
      <c r="AC6" s="52" t="n">
        <v>7672610</v>
      </c>
      <c r="AD6" s="52" t="n">
        <v>9202580</v>
      </c>
      <c r="AE6" s="52" t="n">
        <v>5782940</v>
      </c>
      <c r="AF6" s="52" t="n">
        <v>5163450</v>
      </c>
      <c r="AG6" s="52" t="n">
        <v>7649990</v>
      </c>
      <c r="AH6" s="52" t="n">
        <v>6651890</v>
      </c>
      <c r="AI6" s="52" t="n">
        <v>6078630</v>
      </c>
      <c r="AJ6" s="52" t="n">
        <v>5798240</v>
      </c>
      <c r="AK6" s="52" t="n">
        <v>7192310</v>
      </c>
      <c r="AL6" s="52" t="n">
        <v>5452920</v>
      </c>
      <c r="AM6" s="52" t="n">
        <v>6255260</v>
      </c>
      <c r="AN6" s="52" t="n">
        <v>7040030</v>
      </c>
      <c r="AO6" s="52" t="n">
        <v>6884060</v>
      </c>
      <c r="AP6" s="52" t="n">
        <v>6524820</v>
      </c>
      <c r="AQ6" s="52" t="n">
        <v>6061820</v>
      </c>
      <c r="AR6" s="52" t="n">
        <v>5130270</v>
      </c>
      <c r="AS6" s="52" t="n">
        <v>6383840</v>
      </c>
      <c r="AT6" s="52" t="n">
        <v>5882860</v>
      </c>
      <c r="AU6" s="52" t="n">
        <v>6211770</v>
      </c>
      <c r="AV6" s="52" t="n">
        <v>5627190</v>
      </c>
      <c r="AW6" s="52" t="n">
        <v>5578490</v>
      </c>
      <c r="AX6" s="52" t="n">
        <v>6687460</v>
      </c>
      <c r="AY6" s="52" t="n">
        <v>4233150</v>
      </c>
      <c r="AZ6" s="52" t="n">
        <v>4161710</v>
      </c>
      <c r="BA6" s="52" t="n">
        <v>5693940</v>
      </c>
      <c r="BB6" s="52" t="n">
        <v>5148010</v>
      </c>
      <c r="BC6" s="52" t="n">
        <v>3665730</v>
      </c>
      <c r="BD6" s="52" t="n">
        <v>4441700</v>
      </c>
      <c r="BE6" s="52" t="n">
        <v>4202170</v>
      </c>
      <c r="BF6" s="52" t="n">
        <v>3877490</v>
      </c>
      <c r="BG6" s="52" t="n">
        <v>4173690</v>
      </c>
      <c r="BH6" s="52" t="n">
        <v>3860720</v>
      </c>
      <c r="BI6" s="52" t="n">
        <v>4615570</v>
      </c>
      <c r="BJ6" s="52" t="n">
        <v>5764530</v>
      </c>
      <c r="BK6" s="52" t="n">
        <v>2504930</v>
      </c>
      <c r="BL6" s="52" t="n">
        <v>2620230</v>
      </c>
      <c r="BM6" s="52" t="n">
        <v>4361210</v>
      </c>
    </row>
    <row r="7" customFormat="false" ht="15" hidden="false" customHeight="false" outlineLevel="0" collapsed="false">
      <c r="A7" s="19" t="s">
        <v>183</v>
      </c>
      <c r="B7" s="22" t="s">
        <v>288</v>
      </c>
      <c r="C7" s="19" t="s">
        <v>289</v>
      </c>
      <c r="D7" s="52" t="n">
        <v>21</v>
      </c>
      <c r="E7" s="52" t="n">
        <v>0</v>
      </c>
      <c r="F7" s="52" t="n">
        <v>0</v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2" t="n">
        <v>0</v>
      </c>
      <c r="X7" s="52" t="n">
        <v>0</v>
      </c>
      <c r="Y7" s="52" t="n">
        <v>0</v>
      </c>
      <c r="Z7" s="52" t="n">
        <v>92690</v>
      </c>
      <c r="AA7" s="52" t="n">
        <v>-92690</v>
      </c>
      <c r="AB7" s="52" t="n">
        <v>0</v>
      </c>
      <c r="AC7" s="52" t="n">
        <v>4911870</v>
      </c>
      <c r="AD7" s="52" t="n">
        <v>11775330</v>
      </c>
      <c r="AE7" s="52" t="n">
        <v>6137320</v>
      </c>
      <c r="AF7" s="52" t="n">
        <v>8413800</v>
      </c>
      <c r="AG7" s="52" t="n">
        <v>6120950</v>
      </c>
      <c r="AH7" s="52" t="n">
        <v>6845580</v>
      </c>
      <c r="AI7" s="52" t="n">
        <v>6475450</v>
      </c>
      <c r="AJ7" s="52" t="n">
        <v>7127930</v>
      </c>
      <c r="AK7" s="52" t="n">
        <v>5923690</v>
      </c>
      <c r="AL7" s="52" t="n">
        <v>7351670</v>
      </c>
      <c r="AM7" s="52" t="n">
        <v>7548150</v>
      </c>
      <c r="AN7" s="52" t="n">
        <v>7374740</v>
      </c>
      <c r="AO7" s="52" t="n">
        <v>7146430</v>
      </c>
      <c r="AP7" s="52" t="n">
        <v>8495780</v>
      </c>
      <c r="AQ7" s="52" t="n">
        <v>8664110</v>
      </c>
      <c r="AR7" s="52" t="n">
        <v>7707000</v>
      </c>
      <c r="AS7" s="52" t="n">
        <v>7446310</v>
      </c>
      <c r="AT7" s="52" t="n">
        <v>7052330</v>
      </c>
      <c r="AU7" s="52" t="n">
        <v>6572990</v>
      </c>
      <c r="AV7" s="52" t="n">
        <v>9393310</v>
      </c>
      <c r="AW7" s="52" t="n">
        <v>6746520</v>
      </c>
      <c r="AX7" s="52" t="n">
        <v>8435400</v>
      </c>
      <c r="AY7" s="52" t="n">
        <v>8117630</v>
      </c>
      <c r="AZ7" s="52" t="n">
        <v>7668190</v>
      </c>
      <c r="BA7" s="52" t="n">
        <v>6334320</v>
      </c>
      <c r="BB7" s="52" t="n">
        <v>5707870</v>
      </c>
      <c r="BC7" s="52" t="n">
        <v>7105610</v>
      </c>
      <c r="BD7" s="52" t="n">
        <v>5873750</v>
      </c>
      <c r="BE7" s="52" t="n">
        <v>6196170</v>
      </c>
      <c r="BF7" s="52" t="n">
        <v>5325030</v>
      </c>
      <c r="BG7" s="52" t="n">
        <v>4337740</v>
      </c>
      <c r="BH7" s="52" t="n">
        <v>5084450</v>
      </c>
      <c r="BI7" s="52" t="n">
        <v>6686140</v>
      </c>
      <c r="BJ7" s="52" t="n">
        <v>6657310</v>
      </c>
      <c r="BK7" s="52" t="n">
        <v>3855710</v>
      </c>
      <c r="BL7" s="52" t="n">
        <v>4478240</v>
      </c>
      <c r="BM7" s="52" t="n">
        <v>5586320</v>
      </c>
    </row>
    <row r="8" customFormat="false" ht="15" hidden="false" customHeight="false" outlineLevel="0" collapsed="false">
      <c r="A8" s="19" t="s">
        <v>183</v>
      </c>
      <c r="B8" s="22" t="s">
        <v>318</v>
      </c>
      <c r="C8" s="19" t="s">
        <v>319</v>
      </c>
      <c r="D8" s="52" t="n">
        <v>12</v>
      </c>
      <c r="E8" s="52" t="n">
        <v>0</v>
      </c>
      <c r="F8" s="52" t="n">
        <v>0</v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2" t="n">
        <v>0</v>
      </c>
      <c r="X8" s="52" t="n">
        <v>0</v>
      </c>
      <c r="Y8" s="52" t="n">
        <v>0</v>
      </c>
      <c r="Z8" s="52" t="n">
        <v>0</v>
      </c>
      <c r="AA8" s="52" t="n">
        <v>0</v>
      </c>
      <c r="AB8" s="52" t="n">
        <v>1160912</v>
      </c>
      <c r="AC8" s="52" t="n">
        <v>2894171</v>
      </c>
      <c r="AD8" s="52" t="n">
        <v>4343275</v>
      </c>
      <c r="AE8" s="52" t="n">
        <v>1789417</v>
      </c>
      <c r="AF8" s="52" t="n">
        <v>4010993</v>
      </c>
      <c r="AG8" s="52" t="n">
        <v>2177923</v>
      </c>
      <c r="AH8" s="52" t="n">
        <v>2117185</v>
      </c>
      <c r="AI8" s="52" t="n">
        <v>3478550</v>
      </c>
      <c r="AJ8" s="52" t="n">
        <v>2460799</v>
      </c>
      <c r="AK8" s="52" t="n">
        <v>3463835</v>
      </c>
      <c r="AL8" s="52" t="n">
        <v>3950752</v>
      </c>
      <c r="AM8" s="52" t="n">
        <v>3930572</v>
      </c>
      <c r="AN8" s="52" t="n">
        <v>4402031</v>
      </c>
      <c r="AO8" s="52" t="n">
        <v>4612786</v>
      </c>
      <c r="AP8" s="52" t="n">
        <v>3041925</v>
      </c>
      <c r="AQ8" s="52" t="n">
        <v>2801449</v>
      </c>
      <c r="AR8" s="52" t="n">
        <v>3099416</v>
      </c>
      <c r="AS8" s="52" t="n">
        <v>2538538</v>
      </c>
      <c r="AT8" s="52" t="n">
        <v>3074723</v>
      </c>
      <c r="AU8" s="52" t="n">
        <v>2297039</v>
      </c>
      <c r="AV8" s="52" t="n">
        <v>2091267</v>
      </c>
      <c r="AW8" s="52" t="n">
        <v>2303806</v>
      </c>
      <c r="AX8" s="52" t="n">
        <v>2510779</v>
      </c>
      <c r="AY8" s="52" t="n">
        <v>2102795</v>
      </c>
      <c r="AZ8" s="52" t="n">
        <v>2189229</v>
      </c>
      <c r="BA8" s="52" t="n">
        <v>2268538</v>
      </c>
      <c r="BB8" s="52" t="n">
        <v>1251561</v>
      </c>
      <c r="BC8" s="52" t="n">
        <v>3118620</v>
      </c>
      <c r="BD8" s="52" t="n">
        <v>2221558</v>
      </c>
      <c r="BE8" s="52" t="n">
        <v>1723132</v>
      </c>
      <c r="BF8" s="52" t="n">
        <v>2496290</v>
      </c>
      <c r="BG8" s="52" t="n">
        <v>2584789</v>
      </c>
      <c r="BH8" s="52" t="n">
        <v>2090761</v>
      </c>
      <c r="BI8" s="52" t="n">
        <v>3061534</v>
      </c>
      <c r="BJ8" s="52" t="n">
        <v>1913323</v>
      </c>
      <c r="BK8" s="52" t="n">
        <v>2558509</v>
      </c>
      <c r="BL8" s="52" t="n">
        <v>1938768</v>
      </c>
      <c r="BM8" s="52" t="n">
        <v>2099112</v>
      </c>
    </row>
    <row r="9" customFormat="false" ht="15" hidden="false" customHeight="false" outlineLevel="0" collapsed="false">
      <c r="A9" s="19" t="s">
        <v>183</v>
      </c>
      <c r="B9" s="22" t="s">
        <v>334</v>
      </c>
      <c r="C9" s="19" t="s">
        <v>335</v>
      </c>
      <c r="D9" s="52" t="n">
        <v>3</v>
      </c>
      <c r="E9" s="52" t="n">
        <v>0</v>
      </c>
      <c r="F9" s="52" t="n">
        <v>0</v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  <c r="AB9" s="52" t="n">
        <v>0</v>
      </c>
      <c r="AC9" s="52" t="n">
        <v>11919504</v>
      </c>
      <c r="AD9" s="52" t="n">
        <v>19129733</v>
      </c>
      <c r="AE9" s="52" t="n">
        <v>6198470</v>
      </c>
      <c r="AF9" s="52" t="n">
        <v>13236858</v>
      </c>
      <c r="AG9" s="52" t="n">
        <v>10248825</v>
      </c>
      <c r="AH9" s="52" t="n">
        <v>11393199</v>
      </c>
      <c r="AI9" s="52" t="n">
        <v>10305749</v>
      </c>
      <c r="AJ9" s="52" t="n">
        <v>10553009</v>
      </c>
      <c r="AK9" s="52" t="n">
        <v>7741784</v>
      </c>
      <c r="AL9" s="52" t="n">
        <v>10171104</v>
      </c>
      <c r="AM9" s="52" t="n">
        <v>8821514</v>
      </c>
      <c r="AN9" s="52" t="n">
        <v>9595800</v>
      </c>
      <c r="AO9" s="52" t="n">
        <v>6797219</v>
      </c>
      <c r="AP9" s="52" t="n">
        <v>10409833</v>
      </c>
      <c r="AQ9" s="52" t="n">
        <v>6556885</v>
      </c>
      <c r="AR9" s="52" t="n">
        <v>8480265</v>
      </c>
      <c r="AS9" s="52" t="n">
        <v>6420200</v>
      </c>
      <c r="AT9" s="52" t="n">
        <v>7202520</v>
      </c>
      <c r="AU9" s="52" t="n">
        <v>4583750</v>
      </c>
      <c r="AV9" s="52" t="n">
        <v>4942580</v>
      </c>
      <c r="AW9" s="52" t="n">
        <v>4223745</v>
      </c>
      <c r="AX9" s="52" t="n">
        <v>3983320</v>
      </c>
      <c r="AY9" s="52" t="n">
        <v>3588190</v>
      </c>
      <c r="AZ9" s="52" t="n">
        <v>3888635</v>
      </c>
      <c r="BA9" s="52" t="n">
        <v>4333300</v>
      </c>
      <c r="BB9" s="52" t="n">
        <v>4586990</v>
      </c>
      <c r="BC9" s="52" t="n">
        <v>1924090</v>
      </c>
      <c r="BD9" s="52" t="n">
        <v>2706675</v>
      </c>
      <c r="BE9" s="52" t="n">
        <v>2743415</v>
      </c>
      <c r="BF9" s="52" t="n">
        <v>1322700</v>
      </c>
      <c r="BG9" s="52" t="n">
        <v>4514980</v>
      </c>
      <c r="BH9" s="52" t="n">
        <v>879385</v>
      </c>
      <c r="BI9" s="52" t="n">
        <v>1083280</v>
      </c>
      <c r="BJ9" s="52" t="n">
        <v>474945</v>
      </c>
      <c r="BK9" s="52" t="n">
        <v>1302575</v>
      </c>
      <c r="BL9" s="52" t="n">
        <v>723940</v>
      </c>
      <c r="BM9" s="52" t="n">
        <v>586398</v>
      </c>
    </row>
    <row r="10" customFormat="false" ht="15" hidden="false" customHeight="false" outlineLevel="0" collapsed="false">
      <c r="A10" s="19" t="s">
        <v>183</v>
      </c>
      <c r="B10" s="22" t="s">
        <v>359</v>
      </c>
      <c r="C10" s="19" t="s">
        <v>360</v>
      </c>
      <c r="D10" s="52" t="n">
        <v>0</v>
      </c>
      <c r="E10" s="52" t="n">
        <v>0</v>
      </c>
      <c r="F10" s="52" t="n">
        <v>0</v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2" t="n">
        <v>0</v>
      </c>
      <c r="X10" s="52" t="n">
        <v>0</v>
      </c>
      <c r="Y10" s="52" t="n">
        <v>0</v>
      </c>
      <c r="Z10" s="52" t="n">
        <v>0</v>
      </c>
      <c r="AA10" s="52" t="n">
        <v>0</v>
      </c>
      <c r="AB10" s="52" t="n">
        <v>0</v>
      </c>
      <c r="AC10" s="52" t="n">
        <v>0</v>
      </c>
      <c r="AD10" s="52" t="n">
        <v>0</v>
      </c>
      <c r="AE10" s="52" t="n">
        <v>0</v>
      </c>
      <c r="AF10" s="52" t="n">
        <v>500040</v>
      </c>
      <c r="AG10" s="52" t="n">
        <v>487380</v>
      </c>
      <c r="AH10" s="52" t="n">
        <v>202640</v>
      </c>
      <c r="AI10" s="52" t="n">
        <v>539640</v>
      </c>
      <c r="AJ10" s="52" t="n">
        <v>717720</v>
      </c>
      <c r="AK10" s="52" t="n">
        <v>580790</v>
      </c>
      <c r="AL10" s="52" t="n">
        <v>414360</v>
      </c>
      <c r="AM10" s="52" t="n">
        <v>483540</v>
      </c>
      <c r="AN10" s="52" t="n">
        <v>644640</v>
      </c>
      <c r="AO10" s="52" t="n">
        <v>326560</v>
      </c>
      <c r="AP10" s="52" t="n">
        <v>194730</v>
      </c>
      <c r="AQ10" s="52" t="n">
        <v>0</v>
      </c>
      <c r="AR10" s="52" t="n">
        <v>0</v>
      </c>
      <c r="AS10" s="52" t="n">
        <v>0</v>
      </c>
      <c r="AT10" s="52" t="n">
        <v>0</v>
      </c>
      <c r="AU10" s="52" t="n">
        <v>0</v>
      </c>
      <c r="AV10" s="52" t="n">
        <v>0</v>
      </c>
      <c r="AW10" s="52" t="n">
        <v>0</v>
      </c>
      <c r="AX10" s="52" t="n">
        <v>0</v>
      </c>
      <c r="AY10" s="52" t="n">
        <v>0</v>
      </c>
      <c r="AZ10" s="52" t="n">
        <v>0</v>
      </c>
      <c r="BA10" s="52" t="n">
        <v>0</v>
      </c>
      <c r="BB10" s="52" t="n">
        <v>0</v>
      </c>
      <c r="BC10" s="52" t="n">
        <v>0</v>
      </c>
      <c r="BD10" s="52" t="n">
        <v>0</v>
      </c>
      <c r="BE10" s="52" t="n">
        <v>0</v>
      </c>
      <c r="BF10" s="52" t="n">
        <v>0</v>
      </c>
      <c r="BG10" s="52" t="n">
        <v>0</v>
      </c>
      <c r="BH10" s="52" t="n">
        <v>0</v>
      </c>
      <c r="BI10" s="52" t="n">
        <v>0</v>
      </c>
      <c r="BJ10" s="52" t="n">
        <v>0</v>
      </c>
      <c r="BK10" s="52" t="n">
        <v>0</v>
      </c>
      <c r="BL10" s="52" t="n">
        <v>0</v>
      </c>
      <c r="BM10" s="52" t="n">
        <v>0</v>
      </c>
    </row>
    <row r="11" customFormat="false" ht="15" hidden="false" customHeight="false" outlineLevel="0" collapsed="false">
      <c r="A11" s="19" t="s">
        <v>183</v>
      </c>
      <c r="B11" s="22" t="s">
        <v>184</v>
      </c>
      <c r="C11" s="19" t="s">
        <v>62</v>
      </c>
      <c r="D11" s="52" t="n">
        <v>136</v>
      </c>
      <c r="E11" s="52" t="n">
        <v>0</v>
      </c>
      <c r="F11" s="52" t="n">
        <v>0</v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2" t="n">
        <v>0</v>
      </c>
      <c r="X11" s="52" t="n">
        <v>0</v>
      </c>
      <c r="Y11" s="52" t="n">
        <v>0</v>
      </c>
      <c r="Z11" s="52" t="n">
        <v>0</v>
      </c>
      <c r="AA11" s="52" t="n">
        <v>0</v>
      </c>
      <c r="AB11" s="52" t="n">
        <v>0</v>
      </c>
      <c r="AC11" s="52" t="n">
        <v>0</v>
      </c>
      <c r="AD11" s="52" t="n">
        <v>0</v>
      </c>
      <c r="AE11" s="52" t="n">
        <v>0</v>
      </c>
      <c r="AF11" s="52" t="n">
        <v>0</v>
      </c>
      <c r="AG11" s="52" t="n">
        <v>414991385</v>
      </c>
      <c r="AH11" s="52" t="n">
        <v>349912210</v>
      </c>
      <c r="AI11" s="52" t="n">
        <v>368949432</v>
      </c>
      <c r="AJ11" s="52" t="n">
        <v>353920730</v>
      </c>
      <c r="AK11" s="52" t="n">
        <v>373598572</v>
      </c>
      <c r="AL11" s="52" t="n">
        <v>355274613</v>
      </c>
      <c r="AM11" s="52" t="n">
        <v>377911983</v>
      </c>
      <c r="AN11" s="52" t="n">
        <v>357072638</v>
      </c>
      <c r="AO11" s="52" t="n">
        <v>422604677</v>
      </c>
      <c r="AP11" s="52" t="n">
        <v>411832895</v>
      </c>
      <c r="AQ11" s="52" t="n">
        <v>344212700</v>
      </c>
      <c r="AR11" s="52" t="n">
        <v>395269053</v>
      </c>
      <c r="AS11" s="52" t="n">
        <v>382414064</v>
      </c>
      <c r="AT11" s="52" t="n">
        <v>420584300</v>
      </c>
      <c r="AU11" s="52" t="n">
        <v>359432683</v>
      </c>
      <c r="AV11" s="52" t="n">
        <v>361200967</v>
      </c>
      <c r="AW11" s="52" t="n">
        <v>383471483</v>
      </c>
      <c r="AX11" s="52" t="n">
        <v>397907998</v>
      </c>
      <c r="AY11" s="52" t="n">
        <v>391270165</v>
      </c>
      <c r="AZ11" s="52" t="n">
        <v>420374674</v>
      </c>
      <c r="BA11" s="52" t="n">
        <v>380030577</v>
      </c>
      <c r="BB11" s="52" t="n">
        <v>384981842</v>
      </c>
      <c r="BC11" s="52" t="n">
        <v>413415835</v>
      </c>
      <c r="BD11" s="52" t="n">
        <v>434410369</v>
      </c>
      <c r="BE11" s="52" t="n">
        <v>401007557</v>
      </c>
      <c r="BF11" s="52" t="n">
        <v>388463347</v>
      </c>
      <c r="BG11" s="52" t="n">
        <v>413161362</v>
      </c>
      <c r="BH11" s="52" t="n">
        <v>387878468</v>
      </c>
      <c r="BI11" s="52" t="n">
        <v>430073352</v>
      </c>
      <c r="BJ11" s="52" t="n">
        <v>522305203</v>
      </c>
      <c r="BK11" s="52" t="n">
        <v>402709820</v>
      </c>
      <c r="BL11" s="52" t="n">
        <v>435295118</v>
      </c>
      <c r="BM11" s="52" t="n">
        <v>381044155</v>
      </c>
    </row>
    <row r="12" customFormat="false" ht="15" hidden="false" customHeight="false" outlineLevel="0" collapsed="false">
      <c r="A12" s="19" t="s">
        <v>183</v>
      </c>
      <c r="B12" s="22" t="s">
        <v>324</v>
      </c>
      <c r="C12" s="19" t="s">
        <v>325</v>
      </c>
      <c r="D12" s="52" t="n">
        <v>10</v>
      </c>
      <c r="E12" s="52" t="n">
        <v>0</v>
      </c>
      <c r="F12" s="52" t="n">
        <v>0</v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2" t="n">
        <v>0</v>
      </c>
      <c r="X12" s="52" t="n">
        <v>0</v>
      </c>
      <c r="Y12" s="52" t="n">
        <v>0</v>
      </c>
      <c r="Z12" s="52" t="n">
        <v>0</v>
      </c>
      <c r="AA12" s="52" t="n">
        <v>0</v>
      </c>
      <c r="AB12" s="52" t="n">
        <v>0</v>
      </c>
      <c r="AC12" s="52" t="n">
        <v>0</v>
      </c>
      <c r="AD12" s="52" t="n">
        <v>0</v>
      </c>
      <c r="AE12" s="52" t="n">
        <v>0</v>
      </c>
      <c r="AF12" s="52" t="n">
        <v>0</v>
      </c>
      <c r="AG12" s="52" t="n">
        <v>4396406</v>
      </c>
      <c r="AH12" s="52" t="n">
        <v>4131795</v>
      </c>
      <c r="AI12" s="52" t="n">
        <v>2689724</v>
      </c>
      <c r="AJ12" s="52" t="n">
        <v>1831202</v>
      </c>
      <c r="AK12" s="52" t="n">
        <v>3260715</v>
      </c>
      <c r="AL12" s="52" t="n">
        <v>3283811</v>
      </c>
      <c r="AM12" s="52" t="n">
        <v>3192662</v>
      </c>
      <c r="AN12" s="52" t="n">
        <v>2499780</v>
      </c>
      <c r="AO12" s="52" t="n">
        <v>2468477</v>
      </c>
      <c r="AP12" s="52" t="n">
        <v>3115002</v>
      </c>
      <c r="AQ12" s="52" t="n">
        <v>1669033</v>
      </c>
      <c r="AR12" s="52" t="n">
        <v>6716779</v>
      </c>
      <c r="AS12" s="52" t="n">
        <v>5078456</v>
      </c>
      <c r="AT12" s="52" t="n">
        <v>2179613</v>
      </c>
      <c r="AU12" s="52" t="n">
        <v>3163195</v>
      </c>
      <c r="AV12" s="52" t="n">
        <v>2737039</v>
      </c>
      <c r="AW12" s="52" t="n">
        <v>1617690</v>
      </c>
      <c r="AX12" s="52" t="n">
        <v>3046366</v>
      </c>
      <c r="AY12" s="52" t="n">
        <v>2020873</v>
      </c>
      <c r="AZ12" s="52" t="n">
        <v>1964294</v>
      </c>
      <c r="BA12" s="52" t="n">
        <v>2985034</v>
      </c>
      <c r="BB12" s="52" t="n">
        <v>1396240</v>
      </c>
      <c r="BC12" s="52" t="n">
        <v>2719173</v>
      </c>
      <c r="BD12" s="52" t="n">
        <v>1869257</v>
      </c>
      <c r="BE12" s="52" t="n">
        <v>2233496</v>
      </c>
      <c r="BF12" s="52" t="n">
        <v>1828837</v>
      </c>
      <c r="BG12" s="52" t="n">
        <v>1813394</v>
      </c>
      <c r="BH12" s="52" t="n">
        <v>1514544</v>
      </c>
      <c r="BI12" s="52" t="n">
        <v>1133394</v>
      </c>
      <c r="BJ12" s="52" t="n">
        <v>1508565</v>
      </c>
      <c r="BK12" s="52" t="n">
        <v>1428738</v>
      </c>
      <c r="BL12" s="52" t="n">
        <v>1010432</v>
      </c>
      <c r="BM12" s="52" t="n">
        <v>2490888</v>
      </c>
    </row>
    <row r="13" customFormat="false" ht="15" hidden="false" customHeight="false" outlineLevel="0" collapsed="false">
      <c r="A13" s="19" t="s">
        <v>183</v>
      </c>
      <c r="B13" s="22" t="s">
        <v>276</v>
      </c>
      <c r="C13" s="19" t="s">
        <v>277</v>
      </c>
      <c r="D13" s="52" t="n">
        <v>8</v>
      </c>
      <c r="E13" s="52" t="n">
        <v>0</v>
      </c>
      <c r="F13" s="52" t="n">
        <v>0</v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2" t="n">
        <v>0</v>
      </c>
      <c r="X13" s="52" t="n">
        <v>0</v>
      </c>
      <c r="Y13" s="52" t="n">
        <v>0</v>
      </c>
      <c r="Z13" s="52" t="n">
        <v>0</v>
      </c>
      <c r="AA13" s="52" t="n">
        <v>0</v>
      </c>
      <c r="AB13" s="52" t="n">
        <v>0</v>
      </c>
      <c r="AC13" s="52" t="n">
        <v>0</v>
      </c>
      <c r="AD13" s="52" t="n">
        <v>0</v>
      </c>
      <c r="AE13" s="52" t="n">
        <v>0</v>
      </c>
      <c r="AF13" s="52" t="n">
        <v>0</v>
      </c>
      <c r="AG13" s="52" t="n">
        <v>0</v>
      </c>
      <c r="AH13" s="52" t="n">
        <v>0</v>
      </c>
      <c r="AI13" s="52" t="n">
        <v>486250</v>
      </c>
      <c r="AJ13" s="52" t="n">
        <v>3373164</v>
      </c>
      <c r="AK13" s="52" t="n">
        <v>4411563</v>
      </c>
      <c r="AL13" s="52" t="n">
        <v>4965807</v>
      </c>
      <c r="AM13" s="52" t="n">
        <v>5401551</v>
      </c>
      <c r="AN13" s="52" t="n">
        <v>5967634</v>
      </c>
      <c r="AO13" s="52" t="n">
        <v>7654042</v>
      </c>
      <c r="AP13" s="52" t="n">
        <v>6487045</v>
      </c>
      <c r="AQ13" s="52" t="n">
        <v>6451229</v>
      </c>
      <c r="AR13" s="52" t="n">
        <v>8679208</v>
      </c>
      <c r="AS13" s="52" t="n">
        <v>6424670</v>
      </c>
      <c r="AT13" s="52" t="n">
        <v>8778838</v>
      </c>
      <c r="AU13" s="52" t="n">
        <v>8579744</v>
      </c>
      <c r="AV13" s="52" t="n">
        <v>8603977</v>
      </c>
      <c r="AW13" s="52" t="n">
        <v>7813313</v>
      </c>
      <c r="AX13" s="52" t="n">
        <v>7724807</v>
      </c>
      <c r="AY13" s="52" t="n">
        <v>7655860</v>
      </c>
      <c r="AZ13" s="52" t="n">
        <v>8472170</v>
      </c>
      <c r="BA13" s="52" t="n">
        <v>7594550</v>
      </c>
      <c r="BB13" s="52" t="n">
        <v>8659640</v>
      </c>
      <c r="BC13" s="52" t="n">
        <v>10786670</v>
      </c>
      <c r="BD13" s="52" t="n">
        <v>9156890</v>
      </c>
      <c r="BE13" s="52" t="n">
        <v>7990770</v>
      </c>
      <c r="BF13" s="52" t="n">
        <v>8240630</v>
      </c>
      <c r="BG13" s="52" t="n">
        <v>8934490</v>
      </c>
      <c r="BH13" s="52" t="n">
        <v>8500470</v>
      </c>
      <c r="BI13" s="52" t="n">
        <v>7150610</v>
      </c>
      <c r="BJ13" s="52" t="n">
        <v>7349390</v>
      </c>
      <c r="BK13" s="52" t="n">
        <v>7285540</v>
      </c>
      <c r="BL13" s="52" t="n">
        <v>8239170</v>
      </c>
      <c r="BM13" s="52" t="n">
        <v>6679240</v>
      </c>
    </row>
    <row r="14" customFormat="false" ht="15" hidden="false" customHeight="false" outlineLevel="0" collapsed="false">
      <c r="A14" s="19" t="s">
        <v>183</v>
      </c>
      <c r="B14" s="22" t="s">
        <v>361</v>
      </c>
      <c r="C14" s="22" t="s">
        <v>362</v>
      </c>
      <c r="D14" s="52" t="n">
        <v>0</v>
      </c>
      <c r="E14" s="52" t="n">
        <v>0</v>
      </c>
      <c r="F14" s="52" t="n">
        <v>0</v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2" t="n">
        <v>0</v>
      </c>
      <c r="X14" s="52" t="n">
        <v>0</v>
      </c>
      <c r="Y14" s="52" t="n">
        <v>0</v>
      </c>
      <c r="Z14" s="52" t="n">
        <v>0</v>
      </c>
      <c r="AA14" s="52" t="n">
        <v>0</v>
      </c>
      <c r="AB14" s="52" t="n">
        <v>0</v>
      </c>
      <c r="AC14" s="52" t="n">
        <v>0</v>
      </c>
      <c r="AD14" s="52" t="n">
        <v>0</v>
      </c>
      <c r="AE14" s="52" t="n">
        <v>0</v>
      </c>
      <c r="AF14" s="52" t="n">
        <v>0</v>
      </c>
      <c r="AG14" s="52" t="n">
        <v>0</v>
      </c>
      <c r="AH14" s="52" t="n">
        <v>0</v>
      </c>
      <c r="AI14" s="52" t="n">
        <v>141590</v>
      </c>
      <c r="AJ14" s="52" t="n">
        <v>358300</v>
      </c>
      <c r="AK14" s="52" t="n">
        <v>0</v>
      </c>
      <c r="AL14" s="52" t="n">
        <v>319220</v>
      </c>
      <c r="AM14" s="52" t="n">
        <v>0</v>
      </c>
      <c r="AN14" s="52" t="n">
        <v>527260</v>
      </c>
      <c r="AO14" s="52" t="n">
        <v>164880</v>
      </c>
      <c r="AP14" s="52" t="n">
        <v>-17750</v>
      </c>
      <c r="AQ14" s="52" t="n">
        <v>0</v>
      </c>
      <c r="AR14" s="52" t="n">
        <v>2064600</v>
      </c>
      <c r="AS14" s="52" t="n">
        <v>0</v>
      </c>
      <c r="AT14" s="52" t="n">
        <v>0</v>
      </c>
      <c r="AU14" s="52" t="n">
        <v>0</v>
      </c>
      <c r="AV14" s="52" t="n">
        <v>0</v>
      </c>
      <c r="AW14" s="52" t="n">
        <v>0</v>
      </c>
      <c r="AX14" s="52" t="n">
        <v>0</v>
      </c>
      <c r="AY14" s="52" t="n">
        <v>0</v>
      </c>
      <c r="AZ14" s="52" t="n">
        <v>0</v>
      </c>
      <c r="BA14" s="52" t="n">
        <v>0</v>
      </c>
      <c r="BB14" s="52" t="n">
        <v>0</v>
      </c>
      <c r="BC14" s="52" t="n">
        <v>0</v>
      </c>
      <c r="BD14" s="52" t="n">
        <v>0</v>
      </c>
      <c r="BE14" s="52" t="n">
        <v>0</v>
      </c>
      <c r="BF14" s="52" t="n">
        <v>0</v>
      </c>
      <c r="BG14" s="52" t="n">
        <v>0</v>
      </c>
      <c r="BH14" s="52" t="n">
        <v>0</v>
      </c>
      <c r="BI14" s="52" t="n">
        <v>0</v>
      </c>
      <c r="BJ14" s="52" t="n">
        <v>0</v>
      </c>
      <c r="BK14" s="52" t="n">
        <v>0</v>
      </c>
      <c r="BL14" s="52" t="n">
        <v>0</v>
      </c>
      <c r="BM14" s="52" t="n">
        <v>0</v>
      </c>
    </row>
    <row r="15" customFormat="false" ht="15" hidden="false" customHeight="false" outlineLevel="0" collapsed="false">
      <c r="A15" s="19" t="s">
        <v>183</v>
      </c>
      <c r="B15" s="22" t="s">
        <v>260</v>
      </c>
      <c r="C15" s="19" t="s">
        <v>261</v>
      </c>
      <c r="D15" s="52" t="n">
        <v>18</v>
      </c>
      <c r="E15" s="52" t="n">
        <v>0</v>
      </c>
      <c r="F15" s="52" t="n">
        <v>0</v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2" t="n">
        <v>0</v>
      </c>
      <c r="X15" s="52" t="n">
        <v>0</v>
      </c>
      <c r="Y15" s="52" t="n">
        <v>0</v>
      </c>
      <c r="Z15" s="52" t="n">
        <v>0</v>
      </c>
      <c r="AA15" s="52" t="n">
        <v>0</v>
      </c>
      <c r="AB15" s="52" t="n">
        <v>0</v>
      </c>
      <c r="AC15" s="52" t="n">
        <v>0</v>
      </c>
      <c r="AD15" s="52" t="n">
        <v>0</v>
      </c>
      <c r="AE15" s="52" t="n">
        <v>0</v>
      </c>
      <c r="AF15" s="52" t="n">
        <v>0</v>
      </c>
      <c r="AG15" s="52" t="n">
        <v>0</v>
      </c>
      <c r="AH15" s="52" t="n">
        <v>0</v>
      </c>
      <c r="AI15" s="52" t="n">
        <v>0</v>
      </c>
      <c r="AJ15" s="52" t="n">
        <v>0</v>
      </c>
      <c r="AK15" s="52" t="n">
        <v>4609550</v>
      </c>
      <c r="AL15" s="52" t="n">
        <v>9799560</v>
      </c>
      <c r="AM15" s="52" t="n">
        <v>8698920</v>
      </c>
      <c r="AN15" s="52" t="n">
        <v>7779520</v>
      </c>
      <c r="AO15" s="52" t="n">
        <v>11063200</v>
      </c>
      <c r="AP15" s="52" t="n">
        <v>6126940</v>
      </c>
      <c r="AQ15" s="52" t="n">
        <v>9059410</v>
      </c>
      <c r="AR15" s="52" t="n">
        <v>7936060</v>
      </c>
      <c r="AS15" s="52" t="n">
        <v>9588980</v>
      </c>
      <c r="AT15" s="52" t="n">
        <v>8225680</v>
      </c>
      <c r="AU15" s="52" t="n">
        <v>7959300</v>
      </c>
      <c r="AV15" s="52" t="n">
        <v>10121890</v>
      </c>
      <c r="AW15" s="52" t="n">
        <v>8747130</v>
      </c>
      <c r="AX15" s="52" t="n">
        <v>10157290</v>
      </c>
      <c r="AY15" s="52" t="n">
        <v>9068230</v>
      </c>
      <c r="AZ15" s="52" t="n">
        <v>6648580</v>
      </c>
      <c r="BA15" s="52" t="n">
        <v>9765960</v>
      </c>
      <c r="BB15" s="52" t="n">
        <v>8204410</v>
      </c>
      <c r="BC15" s="52" t="n">
        <v>8519430</v>
      </c>
      <c r="BD15" s="52" t="n">
        <v>9921330</v>
      </c>
      <c r="BE15" s="52" t="n">
        <v>7446210</v>
      </c>
      <c r="BF15" s="52" t="n">
        <v>8396660</v>
      </c>
      <c r="BG15" s="52" t="n">
        <v>11119080</v>
      </c>
      <c r="BH15" s="52" t="n">
        <v>9160250</v>
      </c>
      <c r="BI15" s="52" t="n">
        <v>10681340</v>
      </c>
      <c r="BJ15" s="52" t="n">
        <v>7872130</v>
      </c>
      <c r="BK15" s="52" t="n">
        <v>8787460</v>
      </c>
      <c r="BL15" s="52" t="n">
        <v>11278350</v>
      </c>
      <c r="BM15" s="52" t="n">
        <v>11481230</v>
      </c>
    </row>
    <row r="16" customFormat="false" ht="15" hidden="false" customHeight="false" outlineLevel="0" collapsed="false">
      <c r="A16" s="19" t="s">
        <v>183</v>
      </c>
      <c r="B16" s="22" t="s">
        <v>241</v>
      </c>
      <c r="C16" s="19" t="s">
        <v>242</v>
      </c>
      <c r="D16" s="52" t="n">
        <v>28</v>
      </c>
      <c r="E16" s="52" t="n">
        <v>0</v>
      </c>
      <c r="F16" s="52" t="n">
        <v>0</v>
      </c>
      <c r="G16" s="52" t="n">
        <v>0</v>
      </c>
      <c r="H16" s="52" t="n">
        <v>0</v>
      </c>
      <c r="I16" s="52" t="n">
        <v>0</v>
      </c>
      <c r="J16" s="52" t="n">
        <v>0</v>
      </c>
      <c r="K16" s="52" t="n">
        <v>0</v>
      </c>
      <c r="L16" s="52" t="n">
        <v>0</v>
      </c>
      <c r="M16" s="52" t="n">
        <v>0</v>
      </c>
      <c r="N16" s="52" t="n">
        <v>0</v>
      </c>
      <c r="O16" s="52" t="n">
        <v>0</v>
      </c>
      <c r="P16" s="52" t="n">
        <v>0</v>
      </c>
      <c r="Q16" s="52" t="n">
        <v>0</v>
      </c>
      <c r="R16" s="52" t="n">
        <v>0</v>
      </c>
      <c r="S16" s="52" t="n">
        <v>0</v>
      </c>
      <c r="T16" s="52" t="n">
        <v>0</v>
      </c>
      <c r="U16" s="52" t="n">
        <v>0</v>
      </c>
      <c r="V16" s="52" t="n">
        <v>0</v>
      </c>
      <c r="W16" s="52" t="n">
        <v>0</v>
      </c>
      <c r="X16" s="52" t="n">
        <v>0</v>
      </c>
      <c r="Y16" s="52" t="n">
        <v>0</v>
      </c>
      <c r="Z16" s="52" t="n">
        <v>0</v>
      </c>
      <c r="AA16" s="52" t="n">
        <v>0</v>
      </c>
      <c r="AB16" s="52" t="n">
        <v>0</v>
      </c>
      <c r="AC16" s="52" t="n">
        <v>0</v>
      </c>
      <c r="AD16" s="52" t="n">
        <v>0</v>
      </c>
      <c r="AE16" s="52" t="n">
        <v>0</v>
      </c>
      <c r="AF16" s="52" t="n">
        <v>0</v>
      </c>
      <c r="AG16" s="52" t="n">
        <v>0</v>
      </c>
      <c r="AH16" s="52" t="n">
        <v>0</v>
      </c>
      <c r="AI16" s="52" t="n">
        <v>0</v>
      </c>
      <c r="AJ16" s="52" t="n">
        <v>0</v>
      </c>
      <c r="AK16" s="52" t="n">
        <v>13827270</v>
      </c>
      <c r="AL16" s="52" t="n">
        <v>20157565</v>
      </c>
      <c r="AM16" s="52" t="n">
        <v>17493905</v>
      </c>
      <c r="AN16" s="52" t="n">
        <v>19621757</v>
      </c>
      <c r="AO16" s="52" t="n">
        <v>16098803</v>
      </c>
      <c r="AP16" s="52" t="n">
        <v>18751192</v>
      </c>
      <c r="AQ16" s="52" t="n">
        <v>16693631</v>
      </c>
      <c r="AR16" s="52" t="n">
        <v>20486792</v>
      </c>
      <c r="AS16" s="52" t="n">
        <v>17482340</v>
      </c>
      <c r="AT16" s="52" t="n">
        <v>22416783</v>
      </c>
      <c r="AU16" s="52" t="n">
        <v>20345732</v>
      </c>
      <c r="AV16" s="52" t="n">
        <v>18263818</v>
      </c>
      <c r="AW16" s="52" t="n">
        <v>15546953</v>
      </c>
      <c r="AX16" s="52" t="n">
        <v>19499209</v>
      </c>
      <c r="AY16" s="52" t="n">
        <v>18326283</v>
      </c>
      <c r="AZ16" s="52" t="n">
        <v>18173600</v>
      </c>
      <c r="BA16" s="52" t="n">
        <v>18956720</v>
      </c>
      <c r="BB16" s="52" t="n">
        <v>17308850</v>
      </c>
      <c r="BC16" s="52" t="n">
        <v>18351754</v>
      </c>
      <c r="BD16" s="52" t="n">
        <v>18107629</v>
      </c>
      <c r="BE16" s="52" t="n">
        <v>16753154</v>
      </c>
      <c r="BF16" s="52" t="n">
        <v>17694706</v>
      </c>
      <c r="BG16" s="52" t="n">
        <v>17024423</v>
      </c>
      <c r="BH16" s="52" t="n">
        <v>16156233</v>
      </c>
      <c r="BI16" s="52" t="n">
        <v>19544259</v>
      </c>
      <c r="BJ16" s="52" t="n">
        <v>19139522</v>
      </c>
      <c r="BK16" s="52" t="n">
        <v>15461097</v>
      </c>
      <c r="BL16" s="52" t="n">
        <v>18285388</v>
      </c>
      <c r="BM16" s="52" t="n">
        <v>18249773</v>
      </c>
    </row>
    <row r="17" customFormat="false" ht="15" hidden="false" customHeight="false" outlineLevel="0" collapsed="false">
      <c r="A17" s="19" t="s">
        <v>183</v>
      </c>
      <c r="B17" s="22" t="s">
        <v>306</v>
      </c>
      <c r="C17" s="19" t="s">
        <v>307</v>
      </c>
      <c r="D17" s="52" t="n">
        <v>5</v>
      </c>
      <c r="E17" s="52" t="n">
        <v>0</v>
      </c>
      <c r="F17" s="52" t="n">
        <v>0</v>
      </c>
      <c r="G17" s="52" t="n">
        <v>0</v>
      </c>
      <c r="H17" s="52" t="n">
        <v>0</v>
      </c>
      <c r="I17" s="52" t="n">
        <v>0</v>
      </c>
      <c r="J17" s="52" t="n">
        <v>0</v>
      </c>
      <c r="K17" s="52" t="n">
        <v>0</v>
      </c>
      <c r="L17" s="52" t="n">
        <v>0</v>
      </c>
      <c r="M17" s="52" t="n">
        <v>0</v>
      </c>
      <c r="N17" s="52" t="n">
        <v>0</v>
      </c>
      <c r="O17" s="52" t="n">
        <v>0</v>
      </c>
      <c r="P17" s="52" t="n">
        <v>0</v>
      </c>
      <c r="Q17" s="52" t="n">
        <v>0</v>
      </c>
      <c r="R17" s="52" t="n">
        <v>0</v>
      </c>
      <c r="S17" s="52" t="n">
        <v>0</v>
      </c>
      <c r="T17" s="52" t="n">
        <v>0</v>
      </c>
      <c r="U17" s="52" t="n">
        <v>0</v>
      </c>
      <c r="V17" s="52" t="n">
        <v>0</v>
      </c>
      <c r="W17" s="52" t="n">
        <v>0</v>
      </c>
      <c r="X17" s="52" t="n">
        <v>0</v>
      </c>
      <c r="Y17" s="52" t="n">
        <v>0</v>
      </c>
      <c r="Z17" s="52" t="n">
        <v>0</v>
      </c>
      <c r="AA17" s="52" t="n">
        <v>0</v>
      </c>
      <c r="AB17" s="52" t="n">
        <v>0</v>
      </c>
      <c r="AC17" s="52" t="n">
        <v>0</v>
      </c>
      <c r="AD17" s="52" t="n">
        <v>0</v>
      </c>
      <c r="AE17" s="52" t="n">
        <v>0</v>
      </c>
      <c r="AF17" s="52" t="n">
        <v>0</v>
      </c>
      <c r="AG17" s="52" t="n">
        <v>0</v>
      </c>
      <c r="AH17" s="52" t="n">
        <v>0</v>
      </c>
      <c r="AI17" s="52" t="n">
        <v>0</v>
      </c>
      <c r="AJ17" s="52" t="n">
        <v>0</v>
      </c>
      <c r="AK17" s="52" t="n">
        <v>0</v>
      </c>
      <c r="AL17" s="52" t="n">
        <v>3851730</v>
      </c>
      <c r="AM17" s="52" t="n">
        <v>9583748</v>
      </c>
      <c r="AN17" s="52" t="n">
        <v>8510107</v>
      </c>
      <c r="AO17" s="52" t="n">
        <v>5618248</v>
      </c>
      <c r="AP17" s="52" t="n">
        <v>5851850</v>
      </c>
      <c r="AQ17" s="52" t="n">
        <v>8024573</v>
      </c>
      <c r="AR17" s="52" t="n">
        <v>8022314</v>
      </c>
      <c r="AS17" s="52" t="n">
        <v>7423445</v>
      </c>
      <c r="AT17" s="52" t="n">
        <v>7825625</v>
      </c>
      <c r="AU17" s="52" t="n">
        <v>7569505</v>
      </c>
      <c r="AV17" s="52" t="n">
        <v>8012205</v>
      </c>
      <c r="AW17" s="52" t="n">
        <v>5919610</v>
      </c>
      <c r="AX17" s="52" t="n">
        <v>6212795</v>
      </c>
      <c r="AY17" s="52" t="n">
        <v>6891782</v>
      </c>
      <c r="AZ17" s="52" t="n">
        <v>5487522</v>
      </c>
      <c r="BA17" s="52" t="n">
        <v>4683450</v>
      </c>
      <c r="BB17" s="52" t="n">
        <v>5315792</v>
      </c>
      <c r="BC17" s="52" t="n">
        <v>4363895</v>
      </c>
      <c r="BD17" s="52" t="n">
        <v>4365605</v>
      </c>
      <c r="BE17" s="52" t="n">
        <v>3888794</v>
      </c>
      <c r="BF17" s="52" t="n">
        <v>4390087</v>
      </c>
      <c r="BG17" s="52" t="n">
        <v>4639852</v>
      </c>
      <c r="BH17" s="52" t="n">
        <v>4535940</v>
      </c>
      <c r="BI17" s="52" t="n">
        <v>4527780</v>
      </c>
      <c r="BJ17" s="52" t="n">
        <v>3265790</v>
      </c>
      <c r="BK17" s="52" t="n">
        <v>3670470</v>
      </c>
      <c r="BL17" s="52" t="n">
        <v>2474440</v>
      </c>
      <c r="BM17" s="52" t="n">
        <v>3406305</v>
      </c>
    </row>
    <row r="18" customFormat="false" ht="15" hidden="false" customHeight="false" outlineLevel="0" collapsed="false">
      <c r="A18" s="19" t="s">
        <v>183</v>
      </c>
      <c r="B18" s="22" t="s">
        <v>348</v>
      </c>
      <c r="C18" s="19" t="s">
        <v>349</v>
      </c>
      <c r="D18" s="52" t="n">
        <v>1</v>
      </c>
      <c r="E18" s="52" t="n">
        <v>0</v>
      </c>
      <c r="F18" s="52" t="n">
        <v>0</v>
      </c>
      <c r="G18" s="52" t="n">
        <v>0</v>
      </c>
      <c r="H18" s="52" t="n">
        <v>0</v>
      </c>
      <c r="I18" s="52" t="n">
        <v>0</v>
      </c>
      <c r="J18" s="52" t="n">
        <v>0</v>
      </c>
      <c r="K18" s="52" t="n">
        <v>0</v>
      </c>
      <c r="L18" s="52" t="n">
        <v>0</v>
      </c>
      <c r="M18" s="52" t="n">
        <v>0</v>
      </c>
      <c r="N18" s="52" t="n">
        <v>0</v>
      </c>
      <c r="O18" s="52" t="n">
        <v>0</v>
      </c>
      <c r="P18" s="52" t="n">
        <v>0</v>
      </c>
      <c r="Q18" s="52" t="n">
        <v>0</v>
      </c>
      <c r="R18" s="52" t="n">
        <v>0</v>
      </c>
      <c r="S18" s="52" t="n">
        <v>0</v>
      </c>
      <c r="T18" s="52" t="n">
        <v>0</v>
      </c>
      <c r="U18" s="52" t="n">
        <v>0</v>
      </c>
      <c r="V18" s="52" t="n">
        <v>0</v>
      </c>
      <c r="W18" s="52" t="n">
        <v>0</v>
      </c>
      <c r="X18" s="52" t="n">
        <v>0</v>
      </c>
      <c r="Y18" s="52" t="n">
        <v>0</v>
      </c>
      <c r="Z18" s="52" t="n">
        <v>0</v>
      </c>
      <c r="AA18" s="52" t="n">
        <v>0</v>
      </c>
      <c r="AB18" s="52" t="n">
        <v>0</v>
      </c>
      <c r="AC18" s="52" t="n">
        <v>0</v>
      </c>
      <c r="AD18" s="52" t="n">
        <v>0</v>
      </c>
      <c r="AE18" s="52" t="n">
        <v>0</v>
      </c>
      <c r="AF18" s="52" t="n">
        <v>0</v>
      </c>
      <c r="AG18" s="52" t="n">
        <v>0</v>
      </c>
      <c r="AH18" s="52" t="n">
        <v>0</v>
      </c>
      <c r="AI18" s="52" t="n">
        <v>0</v>
      </c>
      <c r="AJ18" s="52" t="n">
        <v>0</v>
      </c>
      <c r="AK18" s="52" t="n">
        <v>0</v>
      </c>
      <c r="AL18" s="52" t="n">
        <v>0</v>
      </c>
      <c r="AM18" s="52" t="n">
        <v>733666</v>
      </c>
      <c r="AN18" s="52" t="n">
        <v>756356</v>
      </c>
      <c r="AO18" s="52" t="n">
        <v>570712</v>
      </c>
      <c r="AP18" s="52" t="n">
        <v>904894</v>
      </c>
      <c r="AQ18" s="52" t="n">
        <v>347044</v>
      </c>
      <c r="AR18" s="52" t="n">
        <v>496955</v>
      </c>
      <c r="AS18" s="52" t="n">
        <v>488345</v>
      </c>
      <c r="AT18" s="52" t="n">
        <v>559385</v>
      </c>
      <c r="AU18" s="52" t="n">
        <v>0</v>
      </c>
      <c r="AV18" s="52" t="n">
        <v>431244</v>
      </c>
      <c r="AW18" s="52" t="n">
        <v>281489</v>
      </c>
      <c r="AX18" s="52" t="n">
        <v>596156</v>
      </c>
      <c r="AY18" s="52" t="n">
        <v>310973</v>
      </c>
      <c r="AZ18" s="52" t="n">
        <v>775559</v>
      </c>
      <c r="BA18" s="52" t="n">
        <v>0</v>
      </c>
      <c r="BB18" s="52" t="n">
        <v>446946</v>
      </c>
      <c r="BC18" s="52" t="n">
        <v>521706</v>
      </c>
      <c r="BD18" s="52" t="n">
        <v>419816</v>
      </c>
      <c r="BE18" s="52" t="n">
        <v>0</v>
      </c>
      <c r="BF18" s="52" t="n">
        <v>608089</v>
      </c>
      <c r="BG18" s="52" t="n">
        <v>0</v>
      </c>
      <c r="BH18" s="52" t="n">
        <v>0</v>
      </c>
      <c r="BI18" s="52" t="n">
        <v>146372</v>
      </c>
      <c r="BJ18" s="52" t="n">
        <v>262844</v>
      </c>
      <c r="BK18" s="52" t="n">
        <v>0</v>
      </c>
      <c r="BL18" s="52" t="n">
        <v>262844</v>
      </c>
      <c r="BM18" s="52" t="n">
        <v>146372</v>
      </c>
    </row>
    <row r="19" customFormat="false" ht="15" hidden="false" customHeight="false" outlineLevel="0" collapsed="false">
      <c r="A19" s="19" t="s">
        <v>183</v>
      </c>
      <c r="B19" s="22" t="s">
        <v>230</v>
      </c>
      <c r="C19" s="19" t="s">
        <v>231</v>
      </c>
      <c r="D19" s="52" t="n">
        <v>13</v>
      </c>
      <c r="E19" s="52" t="n">
        <v>0</v>
      </c>
      <c r="F19" s="52" t="n">
        <v>0</v>
      </c>
      <c r="G19" s="52" t="n">
        <v>0</v>
      </c>
      <c r="H19" s="52" t="n">
        <v>0</v>
      </c>
      <c r="I19" s="52" t="n">
        <v>0</v>
      </c>
      <c r="J19" s="52" t="n">
        <v>0</v>
      </c>
      <c r="K19" s="52" t="n">
        <v>0</v>
      </c>
      <c r="L19" s="52" t="n">
        <v>0</v>
      </c>
      <c r="M19" s="52" t="n">
        <v>0</v>
      </c>
      <c r="N19" s="52" t="n">
        <v>0</v>
      </c>
      <c r="O19" s="52" t="n">
        <v>0</v>
      </c>
      <c r="P19" s="52" t="n">
        <v>0</v>
      </c>
      <c r="Q19" s="52" t="n">
        <v>0</v>
      </c>
      <c r="R19" s="52" t="n">
        <v>0</v>
      </c>
      <c r="S19" s="52" t="n">
        <v>0</v>
      </c>
      <c r="T19" s="52" t="n">
        <v>0</v>
      </c>
      <c r="U19" s="52" t="n">
        <v>0</v>
      </c>
      <c r="V19" s="52" t="n">
        <v>0</v>
      </c>
      <c r="W19" s="52" t="n">
        <v>0</v>
      </c>
      <c r="X19" s="52" t="n">
        <v>0</v>
      </c>
      <c r="Y19" s="52" t="n">
        <v>0</v>
      </c>
      <c r="Z19" s="52" t="n">
        <v>0</v>
      </c>
      <c r="AA19" s="52" t="n">
        <v>0</v>
      </c>
      <c r="AB19" s="52" t="n">
        <v>0</v>
      </c>
      <c r="AC19" s="52" t="n">
        <v>0</v>
      </c>
      <c r="AD19" s="52" t="n">
        <v>0</v>
      </c>
      <c r="AE19" s="52" t="n">
        <v>0</v>
      </c>
      <c r="AF19" s="52" t="n">
        <v>0</v>
      </c>
      <c r="AG19" s="52" t="n">
        <v>0</v>
      </c>
      <c r="AH19" s="52" t="n">
        <v>0</v>
      </c>
      <c r="AI19" s="52" t="n">
        <v>0</v>
      </c>
      <c r="AJ19" s="52" t="n">
        <v>0</v>
      </c>
      <c r="AK19" s="52" t="n">
        <v>0</v>
      </c>
      <c r="AL19" s="52" t="n">
        <v>0</v>
      </c>
      <c r="AM19" s="52" t="n">
        <v>0</v>
      </c>
      <c r="AN19" s="52" t="n">
        <v>2584260</v>
      </c>
      <c r="AO19" s="52" t="n">
        <v>9118810</v>
      </c>
      <c r="AP19" s="52" t="n">
        <v>11032180</v>
      </c>
      <c r="AQ19" s="52" t="n">
        <v>21193120</v>
      </c>
      <c r="AR19" s="52" t="n">
        <v>18391380</v>
      </c>
      <c r="AS19" s="52" t="n">
        <v>18335300</v>
      </c>
      <c r="AT19" s="52" t="n">
        <v>18431060</v>
      </c>
      <c r="AU19" s="52" t="n">
        <v>17086010</v>
      </c>
      <c r="AV19" s="52" t="n">
        <v>19888900</v>
      </c>
      <c r="AW19" s="52" t="n">
        <v>27913560</v>
      </c>
      <c r="AX19" s="52" t="n">
        <v>26286220</v>
      </c>
      <c r="AY19" s="52" t="n">
        <v>35946160</v>
      </c>
      <c r="AZ19" s="52" t="n">
        <v>30829710</v>
      </c>
      <c r="BA19" s="52" t="n">
        <v>26683600</v>
      </c>
      <c r="BB19" s="52" t="n">
        <v>21653600</v>
      </c>
      <c r="BC19" s="52" t="n">
        <v>30005930</v>
      </c>
      <c r="BD19" s="52" t="n">
        <v>33956720</v>
      </c>
      <c r="BE19" s="52" t="n">
        <v>26296470</v>
      </c>
      <c r="BF19" s="52" t="n">
        <v>34682370</v>
      </c>
      <c r="BG19" s="52" t="n">
        <v>24428960</v>
      </c>
      <c r="BH19" s="52" t="n">
        <v>36947100</v>
      </c>
      <c r="BI19" s="52" t="n">
        <v>29348050</v>
      </c>
      <c r="BJ19" s="52" t="n">
        <v>33601430</v>
      </c>
      <c r="BK19" s="52" t="n">
        <v>25459600</v>
      </c>
      <c r="BL19" s="52" t="n">
        <v>28322120</v>
      </c>
      <c r="BM19" s="52" t="n">
        <v>28083090</v>
      </c>
    </row>
    <row r="20" customFormat="false" ht="15" hidden="false" customHeight="false" outlineLevel="0" collapsed="false">
      <c r="A20" s="19" t="s">
        <v>183</v>
      </c>
      <c r="B20" s="22" t="s">
        <v>363</v>
      </c>
      <c r="C20" s="19" t="s">
        <v>364</v>
      </c>
      <c r="D20" s="52" t="n">
        <v>0</v>
      </c>
      <c r="E20" s="52" t="n">
        <v>0</v>
      </c>
      <c r="F20" s="52" t="n">
        <v>0</v>
      </c>
      <c r="G20" s="52" t="n">
        <v>0</v>
      </c>
      <c r="H20" s="52" t="n">
        <v>0</v>
      </c>
      <c r="I20" s="52" t="n">
        <v>0</v>
      </c>
      <c r="J20" s="52" t="n">
        <v>0</v>
      </c>
      <c r="K20" s="52" t="n">
        <v>0</v>
      </c>
      <c r="L20" s="52" t="n">
        <v>0</v>
      </c>
      <c r="M20" s="52" t="n">
        <v>0</v>
      </c>
      <c r="N20" s="52" t="n">
        <v>0</v>
      </c>
      <c r="O20" s="52" t="n">
        <v>0</v>
      </c>
      <c r="P20" s="52" t="n">
        <v>0</v>
      </c>
      <c r="Q20" s="52" t="n">
        <v>0</v>
      </c>
      <c r="R20" s="52" t="n">
        <v>0</v>
      </c>
      <c r="S20" s="52" t="n">
        <v>0</v>
      </c>
      <c r="T20" s="52" t="n">
        <v>0</v>
      </c>
      <c r="U20" s="52" t="n">
        <v>0</v>
      </c>
      <c r="V20" s="52" t="n">
        <v>0</v>
      </c>
      <c r="W20" s="52" t="n">
        <v>0</v>
      </c>
      <c r="X20" s="52" t="n">
        <v>0</v>
      </c>
      <c r="Y20" s="52" t="n">
        <v>0</v>
      </c>
      <c r="Z20" s="52" t="n">
        <v>0</v>
      </c>
      <c r="AA20" s="52" t="n">
        <v>0</v>
      </c>
      <c r="AB20" s="52" t="n">
        <v>0</v>
      </c>
      <c r="AC20" s="52" t="n">
        <v>0</v>
      </c>
      <c r="AD20" s="52" t="n">
        <v>0</v>
      </c>
      <c r="AE20" s="52" t="n">
        <v>0</v>
      </c>
      <c r="AF20" s="52" t="n">
        <v>0</v>
      </c>
      <c r="AG20" s="52" t="n">
        <v>0</v>
      </c>
      <c r="AH20" s="52" t="n">
        <v>0</v>
      </c>
      <c r="AI20" s="52" t="n">
        <v>0</v>
      </c>
      <c r="AJ20" s="52" t="n">
        <v>0</v>
      </c>
      <c r="AK20" s="52" t="n">
        <v>0</v>
      </c>
      <c r="AL20" s="52" t="n">
        <v>0</v>
      </c>
      <c r="AM20" s="52" t="n">
        <v>0</v>
      </c>
      <c r="AN20" s="52" t="n">
        <v>8800000</v>
      </c>
      <c r="AO20" s="52" t="n">
        <v>0</v>
      </c>
      <c r="AP20" s="52" t="n">
        <v>0</v>
      </c>
      <c r="AQ20" s="52" t="n">
        <v>0</v>
      </c>
      <c r="AR20" s="52" t="n">
        <v>0</v>
      </c>
      <c r="AS20" s="52" t="n">
        <v>0</v>
      </c>
      <c r="AT20" s="52" t="n">
        <v>8800000</v>
      </c>
      <c r="AU20" s="52" t="n">
        <v>0</v>
      </c>
      <c r="AV20" s="52" t="n">
        <v>0</v>
      </c>
      <c r="AW20" s="52" t="n">
        <v>0</v>
      </c>
      <c r="AX20" s="52" t="n">
        <v>0</v>
      </c>
      <c r="AY20" s="52" t="n">
        <v>0</v>
      </c>
      <c r="AZ20" s="52" t="n">
        <v>0</v>
      </c>
      <c r="BA20" s="52" t="n">
        <v>8800000</v>
      </c>
      <c r="BB20" s="52" t="n">
        <v>0</v>
      </c>
      <c r="BC20" s="52" t="n">
        <v>0</v>
      </c>
      <c r="BD20" s="52" t="n">
        <v>0</v>
      </c>
      <c r="BE20" s="52" t="n">
        <v>0</v>
      </c>
      <c r="BF20" s="52" t="n">
        <v>0</v>
      </c>
      <c r="BG20" s="52" t="n">
        <v>0</v>
      </c>
      <c r="BH20" s="52" t="n">
        <v>0</v>
      </c>
      <c r="BI20" s="52" t="n">
        <v>1320000</v>
      </c>
      <c r="BJ20" s="52" t="n">
        <v>0</v>
      </c>
      <c r="BK20" s="52" t="n">
        <v>0</v>
      </c>
      <c r="BL20" s="52" t="n">
        <v>0</v>
      </c>
      <c r="BM20" s="52" t="n">
        <v>0</v>
      </c>
    </row>
    <row r="21" customFormat="false" ht="15" hidden="false" customHeight="false" outlineLevel="0" collapsed="false">
      <c r="A21" s="19" t="s">
        <v>183</v>
      </c>
      <c r="B21" s="22" t="s">
        <v>223</v>
      </c>
      <c r="C21" s="19" t="s">
        <v>224</v>
      </c>
      <c r="D21" s="52" t="n">
        <v>26</v>
      </c>
      <c r="E21" s="52" t="n">
        <v>0</v>
      </c>
      <c r="F21" s="52" t="n">
        <v>0</v>
      </c>
      <c r="G21" s="52" t="n">
        <v>0</v>
      </c>
      <c r="H21" s="52" t="n">
        <v>0</v>
      </c>
      <c r="I21" s="52" t="n">
        <v>0</v>
      </c>
      <c r="J21" s="52" t="n">
        <v>0</v>
      </c>
      <c r="K21" s="52" t="n">
        <v>0</v>
      </c>
      <c r="L21" s="52" t="n">
        <v>0</v>
      </c>
      <c r="M21" s="52" t="n">
        <v>0</v>
      </c>
      <c r="N21" s="52" t="n">
        <v>0</v>
      </c>
      <c r="O21" s="52" t="n">
        <v>0</v>
      </c>
      <c r="P21" s="52" t="n">
        <v>0</v>
      </c>
      <c r="Q21" s="52" t="n">
        <v>0</v>
      </c>
      <c r="R21" s="52" t="n">
        <v>0</v>
      </c>
      <c r="S21" s="52" t="n">
        <v>0</v>
      </c>
      <c r="T21" s="52" t="n">
        <v>0</v>
      </c>
      <c r="U21" s="52" t="n">
        <v>0</v>
      </c>
      <c r="V21" s="52" t="n">
        <v>0</v>
      </c>
      <c r="W21" s="52" t="n">
        <v>0</v>
      </c>
      <c r="X21" s="52" t="n">
        <v>0</v>
      </c>
      <c r="Y21" s="52" t="n">
        <v>0</v>
      </c>
      <c r="Z21" s="52" t="n">
        <v>0</v>
      </c>
      <c r="AA21" s="52" t="n">
        <v>0</v>
      </c>
      <c r="AB21" s="52" t="n">
        <v>0</v>
      </c>
      <c r="AC21" s="52" t="n">
        <v>0</v>
      </c>
      <c r="AD21" s="52" t="n">
        <v>0</v>
      </c>
      <c r="AE21" s="52" t="n">
        <v>0</v>
      </c>
      <c r="AF21" s="52" t="n">
        <v>0</v>
      </c>
      <c r="AG21" s="52" t="n">
        <v>0</v>
      </c>
      <c r="AH21" s="52" t="n">
        <v>0</v>
      </c>
      <c r="AI21" s="52" t="n">
        <v>0</v>
      </c>
      <c r="AJ21" s="52" t="n">
        <v>0</v>
      </c>
      <c r="AK21" s="52" t="n">
        <v>0</v>
      </c>
      <c r="AL21" s="52" t="n">
        <v>0</v>
      </c>
      <c r="AM21" s="52" t="n">
        <v>0</v>
      </c>
      <c r="AN21" s="52" t="n">
        <v>0</v>
      </c>
      <c r="AO21" s="52" t="n">
        <v>16782060</v>
      </c>
      <c r="AP21" s="52" t="n">
        <v>31051200</v>
      </c>
      <c r="AQ21" s="52" t="n">
        <v>26917440</v>
      </c>
      <c r="AR21" s="52" t="n">
        <v>26603390</v>
      </c>
      <c r="AS21" s="52" t="n">
        <v>28745640</v>
      </c>
      <c r="AT21" s="52" t="n">
        <v>30994870</v>
      </c>
      <c r="AU21" s="52" t="n">
        <v>28549470</v>
      </c>
      <c r="AV21" s="52" t="n">
        <v>29993320</v>
      </c>
      <c r="AW21" s="52" t="n">
        <v>46444040</v>
      </c>
      <c r="AX21" s="52" t="n">
        <v>50293290</v>
      </c>
      <c r="AY21" s="52" t="n">
        <v>49723080</v>
      </c>
      <c r="AZ21" s="52" t="n">
        <v>42475060</v>
      </c>
      <c r="BA21" s="52" t="n">
        <v>52208290</v>
      </c>
      <c r="BB21" s="52" t="n">
        <v>45392550</v>
      </c>
      <c r="BC21" s="52" t="n">
        <v>53846900</v>
      </c>
      <c r="BD21" s="52" t="n">
        <v>48188850</v>
      </c>
      <c r="BE21" s="52" t="n">
        <v>41300740</v>
      </c>
      <c r="BF21" s="52" t="n">
        <v>45185280</v>
      </c>
      <c r="BG21" s="52" t="n">
        <v>47303430</v>
      </c>
      <c r="BH21" s="52" t="n">
        <v>47043400</v>
      </c>
      <c r="BI21" s="52" t="n">
        <v>49022710</v>
      </c>
      <c r="BJ21" s="52" t="n">
        <v>36971670</v>
      </c>
      <c r="BK21" s="52" t="n">
        <v>39344550</v>
      </c>
      <c r="BL21" s="52" t="n">
        <v>44716930</v>
      </c>
      <c r="BM21" s="52" t="n">
        <v>41112660</v>
      </c>
    </row>
    <row r="22" customFormat="false" ht="15" hidden="false" customHeight="false" outlineLevel="0" collapsed="false">
      <c r="A22" s="19" t="s">
        <v>183</v>
      </c>
      <c r="B22" s="22" t="s">
        <v>298</v>
      </c>
      <c r="C22" s="19" t="s">
        <v>299</v>
      </c>
      <c r="D22" s="52" t="n">
        <v>13</v>
      </c>
      <c r="E22" s="52" t="n">
        <v>0</v>
      </c>
      <c r="F22" s="52" t="n">
        <v>0</v>
      </c>
      <c r="G22" s="52" t="n">
        <v>0</v>
      </c>
      <c r="H22" s="52" t="n">
        <v>0</v>
      </c>
      <c r="I22" s="52" t="n">
        <v>0</v>
      </c>
      <c r="J22" s="52" t="n">
        <v>0</v>
      </c>
      <c r="K22" s="52" t="n">
        <v>0</v>
      </c>
      <c r="L22" s="52" t="n">
        <v>0</v>
      </c>
      <c r="M22" s="52" t="n">
        <v>0</v>
      </c>
      <c r="N22" s="52" t="n">
        <v>0</v>
      </c>
      <c r="O22" s="52" t="n">
        <v>0</v>
      </c>
      <c r="P22" s="52" t="n">
        <v>0</v>
      </c>
      <c r="Q22" s="52" t="n">
        <v>0</v>
      </c>
      <c r="R22" s="52" t="n">
        <v>0</v>
      </c>
      <c r="S22" s="52" t="n">
        <v>0</v>
      </c>
      <c r="T22" s="52" t="n">
        <v>0</v>
      </c>
      <c r="U22" s="52" t="n">
        <v>0</v>
      </c>
      <c r="V22" s="52" t="n">
        <v>0</v>
      </c>
      <c r="W22" s="52" t="n">
        <v>0</v>
      </c>
      <c r="X22" s="52" t="n">
        <v>0</v>
      </c>
      <c r="Y22" s="52" t="n">
        <v>0</v>
      </c>
      <c r="Z22" s="52" t="n">
        <v>0</v>
      </c>
      <c r="AA22" s="52" t="n">
        <v>0</v>
      </c>
      <c r="AB22" s="52" t="n">
        <v>0</v>
      </c>
      <c r="AC22" s="52" t="n">
        <v>0</v>
      </c>
      <c r="AD22" s="52" t="n">
        <v>0</v>
      </c>
      <c r="AE22" s="52" t="n">
        <v>0</v>
      </c>
      <c r="AF22" s="52" t="n">
        <v>0</v>
      </c>
      <c r="AG22" s="52" t="n">
        <v>0</v>
      </c>
      <c r="AH22" s="52" t="n">
        <v>0</v>
      </c>
      <c r="AI22" s="52" t="n">
        <v>0</v>
      </c>
      <c r="AJ22" s="52" t="n">
        <v>0</v>
      </c>
      <c r="AK22" s="52" t="n">
        <v>0</v>
      </c>
      <c r="AL22" s="52" t="n">
        <v>0</v>
      </c>
      <c r="AM22" s="52" t="n">
        <v>0</v>
      </c>
      <c r="AN22" s="52" t="n">
        <v>0</v>
      </c>
      <c r="AO22" s="52" t="n">
        <v>0</v>
      </c>
      <c r="AP22" s="52" t="n">
        <v>0</v>
      </c>
      <c r="AQ22" s="52" t="n">
        <v>0</v>
      </c>
      <c r="AR22" s="52" t="n">
        <v>0</v>
      </c>
      <c r="AS22" s="52" t="n">
        <v>0</v>
      </c>
      <c r="AT22" s="52" t="n">
        <v>0</v>
      </c>
      <c r="AU22" s="52" t="n">
        <v>0</v>
      </c>
      <c r="AV22" s="52" t="n">
        <v>0</v>
      </c>
      <c r="AW22" s="52" t="n">
        <v>0</v>
      </c>
      <c r="AX22" s="52" t="n">
        <v>3621330</v>
      </c>
      <c r="AY22" s="52" t="n">
        <v>7411350</v>
      </c>
      <c r="AZ22" s="52" t="n">
        <v>6446020</v>
      </c>
      <c r="BA22" s="52" t="n">
        <v>6932920</v>
      </c>
      <c r="BB22" s="52" t="n">
        <v>7522220</v>
      </c>
      <c r="BC22" s="52" t="n">
        <v>8524820</v>
      </c>
      <c r="BD22" s="52" t="n">
        <v>8166200</v>
      </c>
      <c r="BE22" s="52" t="n">
        <v>5387950</v>
      </c>
      <c r="BF22" s="52" t="n">
        <v>5398250</v>
      </c>
      <c r="BG22" s="52" t="n">
        <v>6069930</v>
      </c>
      <c r="BH22" s="52" t="n">
        <v>7028050</v>
      </c>
      <c r="BI22" s="52" t="n">
        <v>16041750</v>
      </c>
      <c r="BJ22" s="52" t="n">
        <v>0</v>
      </c>
      <c r="BK22" s="52" t="n">
        <v>6419490</v>
      </c>
      <c r="BL22" s="52" t="n">
        <v>4335610</v>
      </c>
      <c r="BM22" s="52" t="n">
        <v>4798930</v>
      </c>
    </row>
    <row r="23" customFormat="false" ht="15" hidden="false" customHeight="false" outlineLevel="0" collapsed="false">
      <c r="A23" s="19" t="s">
        <v>183</v>
      </c>
      <c r="B23" s="22" t="s">
        <v>245</v>
      </c>
      <c r="C23" s="19" t="s">
        <v>246</v>
      </c>
      <c r="D23" s="52" t="n">
        <v>18</v>
      </c>
      <c r="E23" s="52" t="n">
        <v>0</v>
      </c>
      <c r="F23" s="52" t="n">
        <v>0</v>
      </c>
      <c r="G23" s="52" t="n">
        <v>0</v>
      </c>
      <c r="H23" s="52" t="n">
        <v>0</v>
      </c>
      <c r="I23" s="52" t="n">
        <v>0</v>
      </c>
      <c r="J23" s="52" t="n">
        <v>0</v>
      </c>
      <c r="K23" s="52" t="n">
        <v>0</v>
      </c>
      <c r="L23" s="52" t="n">
        <v>0</v>
      </c>
      <c r="M23" s="52" t="n">
        <v>0</v>
      </c>
      <c r="N23" s="52" t="n">
        <v>0</v>
      </c>
      <c r="O23" s="52" t="n">
        <v>0</v>
      </c>
      <c r="P23" s="52" t="n">
        <v>0</v>
      </c>
      <c r="Q23" s="52" t="n">
        <v>0</v>
      </c>
      <c r="R23" s="52" t="n">
        <v>0</v>
      </c>
      <c r="S23" s="52" t="n">
        <v>0</v>
      </c>
      <c r="T23" s="52" t="n">
        <v>0</v>
      </c>
      <c r="U23" s="52" t="n">
        <v>0</v>
      </c>
      <c r="V23" s="52" t="n">
        <v>0</v>
      </c>
      <c r="W23" s="52" t="n">
        <v>0</v>
      </c>
      <c r="X23" s="52" t="n">
        <v>0</v>
      </c>
      <c r="Y23" s="52" t="n">
        <v>0</v>
      </c>
      <c r="Z23" s="52" t="n">
        <v>0</v>
      </c>
      <c r="AA23" s="52" t="n">
        <v>0</v>
      </c>
      <c r="AB23" s="52" t="n">
        <v>0</v>
      </c>
      <c r="AC23" s="52" t="n">
        <v>0</v>
      </c>
      <c r="AD23" s="52" t="n">
        <v>0</v>
      </c>
      <c r="AE23" s="52" t="n">
        <v>0</v>
      </c>
      <c r="AF23" s="52" t="n">
        <v>0</v>
      </c>
      <c r="AG23" s="52" t="n">
        <v>0</v>
      </c>
      <c r="AH23" s="52" t="n">
        <v>0</v>
      </c>
      <c r="AI23" s="52" t="n">
        <v>0</v>
      </c>
      <c r="AJ23" s="52" t="n">
        <v>0</v>
      </c>
      <c r="AK23" s="52" t="n">
        <v>0</v>
      </c>
      <c r="AL23" s="52" t="n">
        <v>0</v>
      </c>
      <c r="AM23" s="52" t="n">
        <v>0</v>
      </c>
      <c r="AN23" s="52" t="n">
        <v>0</v>
      </c>
      <c r="AO23" s="52" t="n">
        <v>0</v>
      </c>
      <c r="AP23" s="52" t="n">
        <v>0</v>
      </c>
      <c r="AQ23" s="52" t="n">
        <v>0</v>
      </c>
      <c r="AR23" s="52" t="n">
        <v>0</v>
      </c>
      <c r="AS23" s="52" t="n">
        <v>0</v>
      </c>
      <c r="AT23" s="52" t="n">
        <v>0</v>
      </c>
      <c r="AU23" s="52" t="n">
        <v>0</v>
      </c>
      <c r="AV23" s="52" t="n">
        <v>0</v>
      </c>
      <c r="AW23" s="52" t="n">
        <v>0</v>
      </c>
      <c r="AX23" s="52" t="n">
        <v>0</v>
      </c>
      <c r="AY23" s="52" t="n">
        <v>0</v>
      </c>
      <c r="AZ23" s="52" t="n">
        <v>11059128</v>
      </c>
      <c r="BA23" s="52" t="n">
        <v>9459014</v>
      </c>
      <c r="BB23" s="52" t="n">
        <v>11249151</v>
      </c>
      <c r="BC23" s="52" t="n">
        <v>10705664</v>
      </c>
      <c r="BD23" s="52" t="n">
        <v>12535872</v>
      </c>
      <c r="BE23" s="52" t="n">
        <v>10640456</v>
      </c>
      <c r="BF23" s="52" t="n">
        <v>10858381</v>
      </c>
      <c r="BG23" s="52" t="n">
        <v>12223376</v>
      </c>
      <c r="BH23" s="52" t="n">
        <v>11329061</v>
      </c>
      <c r="BI23" s="52" t="n">
        <v>18642565</v>
      </c>
      <c r="BJ23" s="52" t="n">
        <v>13188982</v>
      </c>
      <c r="BK23" s="52" t="n">
        <v>20311138</v>
      </c>
      <c r="BL23" s="52" t="n">
        <v>12633380</v>
      </c>
      <c r="BM23" s="52" t="n">
        <v>18766168</v>
      </c>
    </row>
    <row r="24" customFormat="false" ht="15" hidden="false" customHeight="false" outlineLevel="0" collapsed="false">
      <c r="A24" s="19" t="s">
        <v>183</v>
      </c>
      <c r="B24" s="22" t="s">
        <v>190</v>
      </c>
      <c r="C24" s="19" t="s">
        <v>191</v>
      </c>
      <c r="D24" s="52" t="n">
        <v>65</v>
      </c>
      <c r="E24" s="52" t="n">
        <v>0</v>
      </c>
      <c r="F24" s="52" t="n">
        <v>0</v>
      </c>
      <c r="G24" s="52" t="n">
        <v>0</v>
      </c>
      <c r="H24" s="52" t="n">
        <v>0</v>
      </c>
      <c r="I24" s="52" t="n">
        <v>0</v>
      </c>
      <c r="J24" s="52" t="n">
        <v>0</v>
      </c>
      <c r="K24" s="52" t="n">
        <v>0</v>
      </c>
      <c r="L24" s="52" t="n">
        <v>0</v>
      </c>
      <c r="M24" s="52" t="n">
        <v>0</v>
      </c>
      <c r="N24" s="52" t="n">
        <v>0</v>
      </c>
      <c r="O24" s="52" t="n">
        <v>0</v>
      </c>
      <c r="P24" s="52" t="n">
        <v>0</v>
      </c>
      <c r="Q24" s="52" t="n">
        <v>0</v>
      </c>
      <c r="R24" s="52" t="n">
        <v>0</v>
      </c>
      <c r="S24" s="52" t="n">
        <v>0</v>
      </c>
      <c r="T24" s="52" t="n">
        <v>0</v>
      </c>
      <c r="U24" s="52" t="n">
        <v>0</v>
      </c>
      <c r="V24" s="52" t="n">
        <v>0</v>
      </c>
      <c r="W24" s="52" t="n">
        <v>0</v>
      </c>
      <c r="X24" s="52" t="n">
        <v>0</v>
      </c>
      <c r="Y24" s="52" t="n">
        <v>0</v>
      </c>
      <c r="Z24" s="52" t="n">
        <v>0</v>
      </c>
      <c r="AA24" s="52" t="n">
        <v>0</v>
      </c>
      <c r="AB24" s="52" t="n">
        <v>0</v>
      </c>
      <c r="AC24" s="52" t="n">
        <v>0</v>
      </c>
      <c r="AD24" s="52" t="n">
        <v>0</v>
      </c>
      <c r="AE24" s="52" t="n">
        <v>0</v>
      </c>
      <c r="AF24" s="52" t="n">
        <v>0</v>
      </c>
      <c r="AG24" s="52" t="n">
        <v>0</v>
      </c>
      <c r="AH24" s="52" t="n">
        <v>0</v>
      </c>
      <c r="AI24" s="52" t="n">
        <v>0</v>
      </c>
      <c r="AJ24" s="52" t="n">
        <v>0</v>
      </c>
      <c r="AK24" s="52" t="n">
        <v>0</v>
      </c>
      <c r="AL24" s="52" t="n">
        <v>0</v>
      </c>
      <c r="AM24" s="52" t="n">
        <v>0</v>
      </c>
      <c r="AN24" s="52" t="n">
        <v>0</v>
      </c>
      <c r="AO24" s="52" t="n">
        <v>0</v>
      </c>
      <c r="AP24" s="52" t="n">
        <v>0</v>
      </c>
      <c r="AQ24" s="52" t="n">
        <v>0</v>
      </c>
      <c r="AR24" s="52" t="n">
        <v>0</v>
      </c>
      <c r="AS24" s="52" t="n">
        <v>0</v>
      </c>
      <c r="AT24" s="52" t="n">
        <v>0</v>
      </c>
      <c r="AU24" s="52" t="n">
        <v>0</v>
      </c>
      <c r="AV24" s="52" t="n">
        <v>142438120</v>
      </c>
      <c r="AW24" s="52" t="n">
        <v>223170269</v>
      </c>
      <c r="AX24" s="52" t="n">
        <v>193085497</v>
      </c>
      <c r="AY24" s="52" t="n">
        <v>213294616</v>
      </c>
      <c r="AZ24" s="52" t="n">
        <v>305175384</v>
      </c>
      <c r="BA24" s="52" t="n">
        <v>193446691</v>
      </c>
      <c r="BB24" s="52" t="n">
        <v>147522374</v>
      </c>
      <c r="BC24" s="52" t="n">
        <v>170221689</v>
      </c>
      <c r="BD24" s="52" t="n">
        <v>197079860</v>
      </c>
      <c r="BE24" s="52" t="n">
        <v>180563244</v>
      </c>
      <c r="BF24" s="52" t="n">
        <v>161459285</v>
      </c>
      <c r="BG24" s="52" t="n">
        <v>161613334</v>
      </c>
      <c r="BH24" s="52" t="n">
        <v>180303614</v>
      </c>
      <c r="BI24" s="52" t="n">
        <v>178909055</v>
      </c>
      <c r="BJ24" s="52" t="n">
        <v>204131274</v>
      </c>
      <c r="BK24" s="52" t="n">
        <v>176000739</v>
      </c>
      <c r="BL24" s="52" t="n">
        <v>173353175</v>
      </c>
      <c r="BM24" s="52" t="n">
        <v>199827991</v>
      </c>
    </row>
    <row r="25" customFormat="false" ht="15" hidden="false" customHeight="false" outlineLevel="0" collapsed="false">
      <c r="A25" s="19" t="s">
        <v>183</v>
      </c>
      <c r="B25" s="22" t="s">
        <v>253</v>
      </c>
      <c r="C25" s="19" t="s">
        <v>254</v>
      </c>
      <c r="D25" s="52" t="n">
        <v>8</v>
      </c>
      <c r="E25" s="52" t="n">
        <v>0</v>
      </c>
      <c r="F25" s="52" t="n">
        <v>0</v>
      </c>
      <c r="G25" s="52" t="n">
        <v>0</v>
      </c>
      <c r="H25" s="52" t="n">
        <v>0</v>
      </c>
      <c r="I25" s="52" t="n">
        <v>0</v>
      </c>
      <c r="J25" s="52" t="n">
        <v>0</v>
      </c>
      <c r="K25" s="52" t="n">
        <v>0</v>
      </c>
      <c r="L25" s="52" t="n">
        <v>0</v>
      </c>
      <c r="M25" s="52" t="n">
        <v>0</v>
      </c>
      <c r="N25" s="52" t="n">
        <v>0</v>
      </c>
      <c r="O25" s="52" t="n">
        <v>0</v>
      </c>
      <c r="P25" s="52" t="n">
        <v>0</v>
      </c>
      <c r="Q25" s="52" t="n">
        <v>0</v>
      </c>
      <c r="R25" s="52" t="n">
        <v>0</v>
      </c>
      <c r="S25" s="52" t="n">
        <v>0</v>
      </c>
      <c r="T25" s="52" t="n">
        <v>0</v>
      </c>
      <c r="U25" s="52" t="n">
        <v>0</v>
      </c>
      <c r="V25" s="52" t="n">
        <v>0</v>
      </c>
      <c r="W25" s="52" t="n">
        <v>0</v>
      </c>
      <c r="X25" s="52" t="n">
        <v>0</v>
      </c>
      <c r="Y25" s="52" t="n">
        <v>0</v>
      </c>
      <c r="Z25" s="52" t="n">
        <v>0</v>
      </c>
      <c r="AA25" s="52" t="n">
        <v>0</v>
      </c>
      <c r="AB25" s="52" t="n">
        <v>0</v>
      </c>
      <c r="AC25" s="52" t="n">
        <v>0</v>
      </c>
      <c r="AD25" s="52" t="n">
        <v>0</v>
      </c>
      <c r="AE25" s="52" t="n">
        <v>0</v>
      </c>
      <c r="AF25" s="52" t="n">
        <v>0</v>
      </c>
      <c r="AG25" s="52" t="n">
        <v>0</v>
      </c>
      <c r="AH25" s="52" t="n">
        <v>0</v>
      </c>
      <c r="AI25" s="52" t="n">
        <v>0</v>
      </c>
      <c r="AJ25" s="52" t="n">
        <v>0</v>
      </c>
      <c r="AK25" s="52" t="n">
        <v>0</v>
      </c>
      <c r="AL25" s="52" t="n">
        <v>0</v>
      </c>
      <c r="AM25" s="52" t="n">
        <v>0</v>
      </c>
      <c r="AN25" s="52" t="n">
        <v>0</v>
      </c>
      <c r="AO25" s="52" t="n">
        <v>0</v>
      </c>
      <c r="AP25" s="52" t="n">
        <v>0</v>
      </c>
      <c r="AQ25" s="52" t="n">
        <v>0</v>
      </c>
      <c r="AR25" s="52" t="n">
        <v>0</v>
      </c>
      <c r="AS25" s="52" t="n">
        <v>0</v>
      </c>
      <c r="AT25" s="52" t="n">
        <v>0</v>
      </c>
      <c r="AU25" s="52" t="n">
        <v>0</v>
      </c>
      <c r="AV25" s="52" t="n">
        <v>0</v>
      </c>
      <c r="AW25" s="52" t="n">
        <v>0</v>
      </c>
      <c r="AX25" s="52" t="n">
        <v>0</v>
      </c>
      <c r="AY25" s="52" t="n">
        <v>0</v>
      </c>
      <c r="AZ25" s="52" t="n">
        <v>0</v>
      </c>
      <c r="BA25" s="52" t="n">
        <v>0</v>
      </c>
      <c r="BB25" s="52" t="n">
        <v>2492212</v>
      </c>
      <c r="BC25" s="52" t="n">
        <v>4537034</v>
      </c>
      <c r="BD25" s="52" t="n">
        <v>8148728</v>
      </c>
      <c r="BE25" s="52" t="n">
        <v>7376733</v>
      </c>
      <c r="BF25" s="52" t="n">
        <v>8259870</v>
      </c>
      <c r="BG25" s="52" t="n">
        <v>8119584</v>
      </c>
      <c r="BH25" s="52" t="n">
        <v>8418270</v>
      </c>
      <c r="BI25" s="52" t="n">
        <v>9306430</v>
      </c>
      <c r="BJ25" s="52" t="n">
        <v>9048050</v>
      </c>
      <c r="BK25" s="52" t="n">
        <v>8316460</v>
      </c>
      <c r="BL25" s="52" t="n">
        <v>12206380</v>
      </c>
      <c r="BM25" s="52" t="n">
        <v>13049710</v>
      </c>
    </row>
    <row r="26" customFormat="false" ht="15" hidden="false" customHeight="false" outlineLevel="0" collapsed="false">
      <c r="A26" s="19" t="s">
        <v>183</v>
      </c>
      <c r="B26" s="22" t="s">
        <v>322</v>
      </c>
      <c r="C26" s="19" t="s">
        <v>323</v>
      </c>
      <c r="D26" s="52" t="n">
        <v>14</v>
      </c>
      <c r="E26" s="52" t="n">
        <v>0</v>
      </c>
      <c r="F26" s="52" t="n">
        <v>0</v>
      </c>
      <c r="G26" s="52" t="n">
        <v>0</v>
      </c>
      <c r="H26" s="52" t="n">
        <v>0</v>
      </c>
      <c r="I26" s="52" t="n">
        <v>0</v>
      </c>
      <c r="J26" s="52" t="n">
        <v>0</v>
      </c>
      <c r="K26" s="52" t="n">
        <v>0</v>
      </c>
      <c r="L26" s="52" t="n">
        <v>0</v>
      </c>
      <c r="M26" s="52" t="n">
        <v>0</v>
      </c>
      <c r="N26" s="52" t="n">
        <v>0</v>
      </c>
      <c r="O26" s="52" t="n">
        <v>0</v>
      </c>
      <c r="P26" s="52" t="n">
        <v>0</v>
      </c>
      <c r="Q26" s="52" t="n">
        <v>0</v>
      </c>
      <c r="R26" s="52" t="n">
        <v>0</v>
      </c>
      <c r="S26" s="52" t="n">
        <v>0</v>
      </c>
      <c r="T26" s="52" t="n">
        <v>0</v>
      </c>
      <c r="U26" s="52" t="n">
        <v>0</v>
      </c>
      <c r="V26" s="52" t="n">
        <v>0</v>
      </c>
      <c r="W26" s="52" t="n">
        <v>0</v>
      </c>
      <c r="X26" s="52" t="n">
        <v>0</v>
      </c>
      <c r="Y26" s="52" t="n">
        <v>0</v>
      </c>
      <c r="Z26" s="52" t="n">
        <v>0</v>
      </c>
      <c r="AA26" s="52" t="n">
        <v>0</v>
      </c>
      <c r="AB26" s="52" t="n">
        <v>0</v>
      </c>
      <c r="AC26" s="52" t="n">
        <v>0</v>
      </c>
      <c r="AD26" s="52" t="n">
        <v>0</v>
      </c>
      <c r="AE26" s="52" t="n">
        <v>0</v>
      </c>
      <c r="AF26" s="52" t="n">
        <v>0</v>
      </c>
      <c r="AG26" s="52" t="n">
        <v>0</v>
      </c>
      <c r="AH26" s="52" t="n">
        <v>0</v>
      </c>
      <c r="AI26" s="52" t="n">
        <v>0</v>
      </c>
      <c r="AJ26" s="52" t="n">
        <v>0</v>
      </c>
      <c r="AK26" s="52" t="n">
        <v>0</v>
      </c>
      <c r="AL26" s="52" t="n">
        <v>0</v>
      </c>
      <c r="AM26" s="52" t="n">
        <v>0</v>
      </c>
      <c r="AN26" s="52" t="n">
        <v>0</v>
      </c>
      <c r="AO26" s="52" t="n">
        <v>0</v>
      </c>
      <c r="AP26" s="52" t="n">
        <v>0</v>
      </c>
      <c r="AQ26" s="52" t="n">
        <v>0</v>
      </c>
      <c r="AR26" s="52" t="n">
        <v>0</v>
      </c>
      <c r="AS26" s="52" t="n">
        <v>0</v>
      </c>
      <c r="AT26" s="52" t="n">
        <v>0</v>
      </c>
      <c r="AU26" s="52" t="n">
        <v>0</v>
      </c>
      <c r="AV26" s="52" t="n">
        <v>0</v>
      </c>
      <c r="AW26" s="52" t="n">
        <v>0</v>
      </c>
      <c r="AX26" s="52" t="n">
        <v>0</v>
      </c>
      <c r="AY26" s="52" t="n">
        <v>0</v>
      </c>
      <c r="AZ26" s="52" t="n">
        <v>0</v>
      </c>
      <c r="BA26" s="52" t="n">
        <v>0</v>
      </c>
      <c r="BB26" s="52" t="n">
        <v>0</v>
      </c>
      <c r="BC26" s="52" t="n">
        <v>0</v>
      </c>
      <c r="BD26" s="52" t="n">
        <v>0</v>
      </c>
      <c r="BE26" s="52" t="n">
        <v>0</v>
      </c>
      <c r="BF26" s="52" t="n">
        <v>0</v>
      </c>
      <c r="BG26" s="52" t="n">
        <v>0</v>
      </c>
      <c r="BH26" s="52" t="n">
        <v>355860</v>
      </c>
      <c r="BI26" s="52" t="n">
        <v>1163504</v>
      </c>
      <c r="BJ26" s="52" t="n">
        <v>2191100</v>
      </c>
      <c r="BK26" s="52" t="n">
        <v>1711868</v>
      </c>
      <c r="BL26" s="52" t="n">
        <v>1529928</v>
      </c>
      <c r="BM26" s="52" t="n">
        <v>2007119</v>
      </c>
    </row>
    <row r="27" customFormat="false" ht="15" hidden="false" customHeight="false" outlineLevel="0" collapsed="false">
      <c r="A27" s="19" t="s">
        <v>183</v>
      </c>
      <c r="B27" s="22" t="s">
        <v>222</v>
      </c>
      <c r="C27" s="19" t="s">
        <v>66</v>
      </c>
      <c r="D27" s="52" t="n">
        <v>48</v>
      </c>
      <c r="E27" s="52" t="n">
        <v>0</v>
      </c>
      <c r="F27" s="52" t="n">
        <v>0</v>
      </c>
      <c r="G27" s="52" t="n">
        <v>0</v>
      </c>
      <c r="H27" s="52" t="n">
        <v>0</v>
      </c>
      <c r="I27" s="52" t="n">
        <v>0</v>
      </c>
      <c r="J27" s="52" t="n">
        <v>0</v>
      </c>
      <c r="K27" s="52" t="n">
        <v>0</v>
      </c>
      <c r="L27" s="52" t="n">
        <v>0</v>
      </c>
      <c r="M27" s="52" t="n">
        <v>0</v>
      </c>
      <c r="N27" s="52" t="n">
        <v>0</v>
      </c>
      <c r="O27" s="52" t="n">
        <v>0</v>
      </c>
      <c r="P27" s="52" t="n">
        <v>0</v>
      </c>
      <c r="Q27" s="52" t="n">
        <v>0</v>
      </c>
      <c r="R27" s="52" t="n">
        <v>0</v>
      </c>
      <c r="S27" s="52" t="n">
        <v>0</v>
      </c>
      <c r="T27" s="52" t="n">
        <v>0</v>
      </c>
      <c r="U27" s="52" t="n">
        <v>0</v>
      </c>
      <c r="V27" s="52" t="n">
        <v>0</v>
      </c>
      <c r="W27" s="52" t="n">
        <v>0</v>
      </c>
      <c r="X27" s="52" t="n">
        <v>0</v>
      </c>
      <c r="Y27" s="52" t="n">
        <v>0</v>
      </c>
      <c r="Z27" s="52" t="n">
        <v>0</v>
      </c>
      <c r="AA27" s="52" t="n">
        <v>0</v>
      </c>
      <c r="AB27" s="52" t="n">
        <v>0</v>
      </c>
      <c r="AC27" s="52" t="n">
        <v>0</v>
      </c>
      <c r="AD27" s="52" t="n">
        <v>0</v>
      </c>
      <c r="AE27" s="52" t="n">
        <v>0</v>
      </c>
      <c r="AF27" s="52" t="n">
        <v>0</v>
      </c>
      <c r="AG27" s="52" t="n">
        <v>0</v>
      </c>
      <c r="AH27" s="52" t="n">
        <v>0</v>
      </c>
      <c r="AI27" s="52" t="n">
        <v>0</v>
      </c>
      <c r="AJ27" s="52" t="n">
        <v>0</v>
      </c>
      <c r="AK27" s="52" t="n">
        <v>0</v>
      </c>
      <c r="AL27" s="52" t="n">
        <v>0</v>
      </c>
      <c r="AM27" s="52" t="n">
        <v>0</v>
      </c>
      <c r="AN27" s="52" t="n">
        <v>0</v>
      </c>
      <c r="AO27" s="52" t="n">
        <v>0</v>
      </c>
      <c r="AP27" s="52" t="n">
        <v>0</v>
      </c>
      <c r="AQ27" s="52" t="n">
        <v>0</v>
      </c>
      <c r="AR27" s="52" t="n">
        <v>0</v>
      </c>
      <c r="AS27" s="52" t="n">
        <v>0</v>
      </c>
      <c r="AT27" s="52" t="n">
        <v>0</v>
      </c>
      <c r="AU27" s="52" t="n">
        <v>0</v>
      </c>
      <c r="AV27" s="52" t="n">
        <v>0</v>
      </c>
      <c r="AW27" s="52" t="n">
        <v>0</v>
      </c>
      <c r="AX27" s="52" t="n">
        <v>0</v>
      </c>
      <c r="AY27" s="52" t="n">
        <v>0</v>
      </c>
      <c r="AZ27" s="52" t="n">
        <v>0</v>
      </c>
      <c r="BA27" s="52" t="n">
        <v>0</v>
      </c>
      <c r="BB27" s="52" t="n">
        <v>0</v>
      </c>
      <c r="BC27" s="52" t="n">
        <v>0</v>
      </c>
      <c r="BD27" s="52" t="n">
        <v>0</v>
      </c>
      <c r="BE27" s="52" t="n">
        <v>0</v>
      </c>
      <c r="BF27" s="52" t="n">
        <v>0</v>
      </c>
      <c r="BG27" s="52" t="n">
        <v>0</v>
      </c>
      <c r="BH27" s="52" t="n">
        <v>0</v>
      </c>
      <c r="BI27" s="52" t="n">
        <v>28781160</v>
      </c>
      <c r="BJ27" s="52" t="n">
        <v>36953520</v>
      </c>
      <c r="BK27" s="52" t="n">
        <v>45498864</v>
      </c>
      <c r="BL27" s="52" t="n">
        <v>48067000</v>
      </c>
      <c r="BM27" s="52" t="n">
        <v>51039770</v>
      </c>
    </row>
    <row r="28" customFormat="false" ht="15" hidden="false" customHeight="false" outlineLevel="0" collapsed="false">
      <c r="A28" s="19" t="s">
        <v>183</v>
      </c>
      <c r="B28" s="22" t="s">
        <v>365</v>
      </c>
      <c r="C28" s="19" t="s">
        <v>366</v>
      </c>
      <c r="D28" s="52" t="n">
        <v>1</v>
      </c>
      <c r="E28" s="52" t="n">
        <v>0</v>
      </c>
      <c r="F28" s="52" t="n">
        <v>0</v>
      </c>
      <c r="G28" s="52" t="n">
        <v>0</v>
      </c>
      <c r="H28" s="52" t="n">
        <v>0</v>
      </c>
      <c r="I28" s="52" t="n">
        <v>0</v>
      </c>
      <c r="J28" s="52" t="n">
        <v>0</v>
      </c>
      <c r="K28" s="52" t="n">
        <v>0</v>
      </c>
      <c r="L28" s="52" t="n">
        <v>0</v>
      </c>
      <c r="M28" s="52" t="n">
        <v>0</v>
      </c>
      <c r="N28" s="52" t="n">
        <v>0</v>
      </c>
      <c r="O28" s="52" t="n">
        <v>0</v>
      </c>
      <c r="P28" s="52" t="n">
        <v>0</v>
      </c>
      <c r="Q28" s="52" t="n">
        <v>0</v>
      </c>
      <c r="R28" s="52" t="n">
        <v>0</v>
      </c>
      <c r="S28" s="52" t="n">
        <v>0</v>
      </c>
      <c r="T28" s="52" t="n">
        <v>0</v>
      </c>
      <c r="U28" s="52" t="n">
        <v>0</v>
      </c>
      <c r="V28" s="52" t="n">
        <v>0</v>
      </c>
      <c r="W28" s="52" t="n">
        <v>0</v>
      </c>
      <c r="X28" s="52" t="n">
        <v>0</v>
      </c>
      <c r="Y28" s="52" t="n">
        <v>0</v>
      </c>
      <c r="Z28" s="52" t="n">
        <v>0</v>
      </c>
      <c r="AA28" s="52" t="n">
        <v>0</v>
      </c>
      <c r="AB28" s="52" t="n">
        <v>0</v>
      </c>
      <c r="AC28" s="52" t="n">
        <v>0</v>
      </c>
      <c r="AD28" s="52" t="n">
        <v>0</v>
      </c>
      <c r="AE28" s="52" t="n">
        <v>0</v>
      </c>
      <c r="AF28" s="52" t="n">
        <v>0</v>
      </c>
      <c r="AG28" s="52" t="n">
        <v>0</v>
      </c>
      <c r="AH28" s="52" t="n">
        <v>0</v>
      </c>
      <c r="AI28" s="52" t="n">
        <v>0</v>
      </c>
      <c r="AJ28" s="52" t="n">
        <v>0</v>
      </c>
      <c r="AK28" s="52" t="n">
        <v>0</v>
      </c>
      <c r="AL28" s="52" t="n">
        <v>0</v>
      </c>
      <c r="AM28" s="52" t="n">
        <v>0</v>
      </c>
      <c r="AN28" s="52" t="n">
        <v>0</v>
      </c>
      <c r="AO28" s="52" t="n">
        <v>0</v>
      </c>
      <c r="AP28" s="52" t="n">
        <v>0</v>
      </c>
      <c r="AQ28" s="52" t="n">
        <v>0</v>
      </c>
      <c r="AR28" s="52" t="n">
        <v>0</v>
      </c>
      <c r="AS28" s="52" t="n">
        <v>0</v>
      </c>
      <c r="AT28" s="52" t="n">
        <v>0</v>
      </c>
      <c r="AU28" s="52" t="n">
        <v>0</v>
      </c>
      <c r="AV28" s="52" t="n">
        <v>0</v>
      </c>
      <c r="AW28" s="52" t="n">
        <v>0</v>
      </c>
      <c r="AX28" s="52" t="n">
        <v>0</v>
      </c>
      <c r="AY28" s="52" t="n">
        <v>0</v>
      </c>
      <c r="AZ28" s="52" t="n">
        <v>0</v>
      </c>
      <c r="BA28" s="52" t="n">
        <v>0</v>
      </c>
      <c r="BB28" s="52" t="n">
        <v>0</v>
      </c>
      <c r="BC28" s="52" t="n">
        <v>0</v>
      </c>
      <c r="BD28" s="52" t="n">
        <v>0</v>
      </c>
      <c r="BE28" s="52" t="n">
        <v>0</v>
      </c>
      <c r="BF28" s="52" t="n">
        <v>0</v>
      </c>
      <c r="BG28" s="52" t="n">
        <v>0</v>
      </c>
      <c r="BH28" s="52" t="n">
        <v>0</v>
      </c>
      <c r="BI28" s="52" t="n">
        <v>0</v>
      </c>
      <c r="BJ28" s="52" t="n">
        <v>0</v>
      </c>
      <c r="BK28" s="52" t="n">
        <v>0</v>
      </c>
      <c r="BL28" s="52" t="n">
        <v>-192660</v>
      </c>
      <c r="BM28" s="52" t="n">
        <v>192660</v>
      </c>
    </row>
    <row r="29" customFormat="false" ht="15" hidden="false" customHeight="false" outlineLevel="0" collapsed="false">
      <c r="A29" s="19" t="s">
        <v>181</v>
      </c>
      <c r="B29" s="22" t="s">
        <v>367</v>
      </c>
      <c r="C29" s="19" t="s">
        <v>368</v>
      </c>
      <c r="D29" s="52" t="n">
        <v>0</v>
      </c>
      <c r="E29" s="52" t="n">
        <v>77111650</v>
      </c>
      <c r="F29" s="52" t="n">
        <v>65707378</v>
      </c>
      <c r="G29" s="52" t="n">
        <v>79332941</v>
      </c>
      <c r="H29" s="52" t="n">
        <v>112350366</v>
      </c>
      <c r="I29" s="52" t="n">
        <v>92316473</v>
      </c>
      <c r="J29" s="52" t="n">
        <v>102523205</v>
      </c>
      <c r="K29" s="52" t="n">
        <v>173856750</v>
      </c>
      <c r="L29" s="52" t="n">
        <v>65954751</v>
      </c>
      <c r="M29" s="52" t="n">
        <v>82861560</v>
      </c>
      <c r="N29" s="52" t="n">
        <v>85628624</v>
      </c>
      <c r="O29" s="52" t="n">
        <v>81835356</v>
      </c>
      <c r="P29" s="52" t="n">
        <v>81422118</v>
      </c>
      <c r="Q29" s="52" t="n">
        <v>76964846</v>
      </c>
      <c r="R29" s="52" t="n">
        <v>100973486</v>
      </c>
      <c r="S29" s="52" t="n">
        <v>97386388</v>
      </c>
      <c r="T29" s="52" t="n">
        <v>96529672</v>
      </c>
      <c r="U29" s="52" t="n">
        <v>104654858</v>
      </c>
      <c r="V29" s="52" t="n">
        <v>116045992</v>
      </c>
      <c r="W29" s="52" t="n">
        <v>145771552</v>
      </c>
      <c r="X29" s="52" t="n">
        <v>152117476</v>
      </c>
      <c r="Y29" s="52" t="n">
        <v>132085060</v>
      </c>
      <c r="Z29" s="52" t="n">
        <v>78721530</v>
      </c>
      <c r="AA29" s="52" t="n">
        <v>114376140</v>
      </c>
      <c r="AB29" s="52" t="n">
        <v>122233450</v>
      </c>
      <c r="AC29" s="52" t="n">
        <v>118188756</v>
      </c>
      <c r="AD29" s="52" t="n">
        <v>172230938</v>
      </c>
      <c r="AE29" s="52" t="n">
        <v>88037904</v>
      </c>
      <c r="AF29" s="52" t="n">
        <v>92458282</v>
      </c>
      <c r="AG29" s="52" t="n">
        <v>105157242</v>
      </c>
      <c r="AH29" s="52" t="n">
        <v>89819362</v>
      </c>
      <c r="AI29" s="52" t="n">
        <v>100546138</v>
      </c>
      <c r="AJ29" s="52" t="n">
        <v>119055658</v>
      </c>
      <c r="AK29" s="52" t="n">
        <v>96046296</v>
      </c>
      <c r="AL29" s="52" t="n">
        <v>110148754</v>
      </c>
      <c r="AM29" s="52" t="n">
        <v>84729148</v>
      </c>
      <c r="AN29" s="52" t="n">
        <v>74126800</v>
      </c>
      <c r="AO29" s="52" t="n">
        <v>88345290</v>
      </c>
      <c r="AP29" s="52" t="n">
        <v>93334196</v>
      </c>
      <c r="AQ29" s="52" t="n">
        <v>58291690</v>
      </c>
      <c r="AR29" s="52" t="n">
        <v>40391210</v>
      </c>
      <c r="AS29" s="52" t="n">
        <v>36190880</v>
      </c>
      <c r="AT29" s="52" t="n">
        <v>40418820</v>
      </c>
      <c r="AU29" s="52" t="n">
        <v>60334030</v>
      </c>
      <c r="AV29" s="52" t="n">
        <v>2056100</v>
      </c>
      <c r="AW29" s="52" t="n">
        <v>0</v>
      </c>
      <c r="AX29" s="52" t="n">
        <v>1315800</v>
      </c>
      <c r="AY29" s="52" t="n">
        <v>0</v>
      </c>
      <c r="AZ29" s="52" t="n">
        <v>0</v>
      </c>
      <c r="BA29" s="52" t="n">
        <v>0</v>
      </c>
      <c r="BB29" s="52" t="n">
        <v>0</v>
      </c>
      <c r="BC29" s="52" t="n">
        <v>0</v>
      </c>
      <c r="BD29" s="52" t="n">
        <v>0</v>
      </c>
      <c r="BE29" s="52" t="n">
        <v>0</v>
      </c>
      <c r="BF29" s="52" t="n">
        <v>0</v>
      </c>
      <c r="BG29" s="52" t="n">
        <v>0</v>
      </c>
      <c r="BH29" s="52" t="n">
        <v>0</v>
      </c>
      <c r="BI29" s="52" t="n">
        <v>0</v>
      </c>
      <c r="BJ29" s="52" t="n">
        <v>0</v>
      </c>
      <c r="BK29" s="52" t="n">
        <v>0</v>
      </c>
      <c r="BL29" s="52" t="n">
        <v>0</v>
      </c>
      <c r="BM29" s="52" t="n">
        <v>0</v>
      </c>
    </row>
    <row r="30" customFormat="false" ht="15" hidden="false" customHeight="false" outlineLevel="0" collapsed="false">
      <c r="A30" s="19" t="s">
        <v>181</v>
      </c>
      <c r="B30" s="22" t="s">
        <v>268</v>
      </c>
      <c r="C30" s="19" t="s">
        <v>269</v>
      </c>
      <c r="D30" s="52" t="n">
        <v>17</v>
      </c>
      <c r="E30" s="52" t="n">
        <v>7276528</v>
      </c>
      <c r="F30" s="52" t="n">
        <v>5889878</v>
      </c>
      <c r="G30" s="52" t="n">
        <v>11033669</v>
      </c>
      <c r="H30" s="52" t="n">
        <v>10007470</v>
      </c>
      <c r="I30" s="52" t="n">
        <v>8207300</v>
      </c>
      <c r="J30" s="52" t="n">
        <v>9565733</v>
      </c>
      <c r="K30" s="52" t="n">
        <v>19210704</v>
      </c>
      <c r="L30" s="52" t="n">
        <v>9015543</v>
      </c>
      <c r="M30" s="52" t="n">
        <v>4061582</v>
      </c>
      <c r="N30" s="52" t="n">
        <v>6904684</v>
      </c>
      <c r="O30" s="52" t="n">
        <v>7496330</v>
      </c>
      <c r="P30" s="52" t="n">
        <v>6526221</v>
      </c>
      <c r="Q30" s="52" t="n">
        <v>7221164</v>
      </c>
      <c r="R30" s="52" t="n">
        <v>6045793</v>
      </c>
      <c r="S30" s="52" t="n">
        <v>8489160</v>
      </c>
      <c r="T30" s="52" t="n">
        <v>5905754</v>
      </c>
      <c r="U30" s="52" t="n">
        <v>7149911</v>
      </c>
      <c r="V30" s="52" t="n">
        <v>6577592</v>
      </c>
      <c r="W30" s="52" t="n">
        <v>10867612</v>
      </c>
      <c r="X30" s="52" t="n">
        <v>8534879</v>
      </c>
      <c r="Y30" s="52" t="n">
        <v>13414937</v>
      </c>
      <c r="Z30" s="52" t="n">
        <v>7778226</v>
      </c>
      <c r="AA30" s="52" t="n">
        <v>8945577</v>
      </c>
      <c r="AB30" s="52" t="n">
        <v>9045215</v>
      </c>
      <c r="AC30" s="52" t="n">
        <v>9095316</v>
      </c>
      <c r="AD30" s="52" t="n">
        <v>18070757</v>
      </c>
      <c r="AE30" s="52" t="n">
        <v>5778389</v>
      </c>
      <c r="AF30" s="52" t="n">
        <v>6865992</v>
      </c>
      <c r="AG30" s="52" t="n">
        <v>6800088</v>
      </c>
      <c r="AH30" s="52" t="n">
        <v>9915397</v>
      </c>
      <c r="AI30" s="52" t="n">
        <v>14033116</v>
      </c>
      <c r="AJ30" s="52" t="n">
        <v>9977692</v>
      </c>
      <c r="AK30" s="52" t="n">
        <v>9245214</v>
      </c>
      <c r="AL30" s="52" t="n">
        <v>7535711</v>
      </c>
      <c r="AM30" s="52" t="n">
        <v>7070048</v>
      </c>
      <c r="AN30" s="52" t="n">
        <v>7481125</v>
      </c>
      <c r="AO30" s="52" t="n">
        <v>9728944</v>
      </c>
      <c r="AP30" s="52" t="n">
        <v>7869040</v>
      </c>
      <c r="AQ30" s="52" t="n">
        <v>7227348</v>
      </c>
      <c r="AR30" s="52" t="n">
        <v>15788911</v>
      </c>
      <c r="AS30" s="52" t="n">
        <v>10269664</v>
      </c>
      <c r="AT30" s="52" t="n">
        <v>8827187</v>
      </c>
      <c r="AU30" s="52" t="n">
        <v>8145571</v>
      </c>
      <c r="AV30" s="52" t="n">
        <v>9063701</v>
      </c>
      <c r="AW30" s="52" t="n">
        <v>8537158</v>
      </c>
      <c r="AX30" s="52" t="n">
        <v>9756545</v>
      </c>
      <c r="AY30" s="52" t="n">
        <v>11826064</v>
      </c>
      <c r="AZ30" s="52" t="n">
        <v>9381105</v>
      </c>
      <c r="BA30" s="52" t="n">
        <v>8327328</v>
      </c>
      <c r="BB30" s="52" t="n">
        <v>9105329</v>
      </c>
      <c r="BC30" s="52" t="n">
        <v>7489687</v>
      </c>
      <c r="BD30" s="52" t="n">
        <v>7528737</v>
      </c>
      <c r="BE30" s="52" t="n">
        <v>8945143</v>
      </c>
      <c r="BF30" s="52" t="n">
        <v>8777563</v>
      </c>
      <c r="BG30" s="52" t="n">
        <v>7111125</v>
      </c>
      <c r="BH30" s="52" t="n">
        <v>8903535</v>
      </c>
      <c r="BI30" s="52" t="n">
        <v>7823541</v>
      </c>
      <c r="BJ30" s="52" t="n">
        <v>11102834</v>
      </c>
      <c r="BK30" s="52" t="n">
        <v>6575438</v>
      </c>
      <c r="BL30" s="52" t="n">
        <v>7312558</v>
      </c>
      <c r="BM30" s="52" t="n">
        <v>8920442</v>
      </c>
    </row>
    <row r="31" customFormat="false" ht="15" hidden="false" customHeight="false" outlineLevel="0" collapsed="false">
      <c r="A31" s="19" t="s">
        <v>181</v>
      </c>
      <c r="B31" s="22" t="s">
        <v>232</v>
      </c>
      <c r="C31" s="19" t="s">
        <v>65</v>
      </c>
      <c r="D31" s="52" t="n">
        <v>44</v>
      </c>
      <c r="E31" s="52" t="n">
        <v>31028568</v>
      </c>
      <c r="F31" s="52" t="n">
        <v>26883673</v>
      </c>
      <c r="G31" s="52" t="n">
        <v>26265418</v>
      </c>
      <c r="H31" s="52" t="n">
        <v>29408144</v>
      </c>
      <c r="I31" s="52" t="n">
        <v>31694933</v>
      </c>
      <c r="J31" s="52" t="n">
        <v>32008086</v>
      </c>
      <c r="K31" s="52" t="n">
        <v>51174688</v>
      </c>
      <c r="L31" s="52" t="n">
        <v>20259479</v>
      </c>
      <c r="M31" s="52" t="n">
        <v>25437539</v>
      </c>
      <c r="N31" s="52" t="n">
        <v>25421722</v>
      </c>
      <c r="O31" s="52" t="n">
        <v>26579201</v>
      </c>
      <c r="P31" s="52" t="n">
        <v>25483284</v>
      </c>
      <c r="Q31" s="52" t="n">
        <v>26154516</v>
      </c>
      <c r="R31" s="52" t="n">
        <v>22187812</v>
      </c>
      <c r="S31" s="52" t="n">
        <v>27564204</v>
      </c>
      <c r="T31" s="52" t="n">
        <v>22387690</v>
      </c>
      <c r="U31" s="52" t="n">
        <v>26163666</v>
      </c>
      <c r="V31" s="52" t="n">
        <v>23862882</v>
      </c>
      <c r="W31" s="52" t="n">
        <v>29047009</v>
      </c>
      <c r="X31" s="52" t="n">
        <v>27708862</v>
      </c>
      <c r="Y31" s="52" t="n">
        <v>23369416</v>
      </c>
      <c r="Z31" s="52" t="n">
        <v>20697436</v>
      </c>
      <c r="AA31" s="52" t="n">
        <v>21874155</v>
      </c>
      <c r="AB31" s="52" t="n">
        <v>19248243</v>
      </c>
      <c r="AC31" s="52" t="n">
        <v>24133636</v>
      </c>
      <c r="AD31" s="52" t="n">
        <v>27953078</v>
      </c>
      <c r="AE31" s="52" t="n">
        <v>17386919</v>
      </c>
      <c r="AF31" s="52" t="n">
        <v>23938267</v>
      </c>
      <c r="AG31" s="52" t="n">
        <v>27618706</v>
      </c>
      <c r="AH31" s="52" t="n">
        <v>23895162</v>
      </c>
      <c r="AI31" s="52" t="n">
        <v>24060005</v>
      </c>
      <c r="AJ31" s="52" t="n">
        <v>28297821</v>
      </c>
      <c r="AK31" s="52" t="n">
        <v>26307329</v>
      </c>
      <c r="AL31" s="52" t="n">
        <v>30787934</v>
      </c>
      <c r="AM31" s="52" t="n">
        <v>27659209</v>
      </c>
      <c r="AN31" s="52" t="n">
        <v>27993525</v>
      </c>
      <c r="AO31" s="52" t="n">
        <v>27640030</v>
      </c>
      <c r="AP31" s="52" t="n">
        <v>28863450</v>
      </c>
      <c r="AQ31" s="52" t="n">
        <v>25633056</v>
      </c>
      <c r="AR31" s="52" t="n">
        <v>29622950</v>
      </c>
      <c r="AS31" s="52" t="n">
        <v>30346944</v>
      </c>
      <c r="AT31" s="52" t="n">
        <v>31966016</v>
      </c>
      <c r="AU31" s="52" t="n">
        <v>29243202</v>
      </c>
      <c r="AV31" s="52" t="n">
        <v>30310562</v>
      </c>
      <c r="AW31" s="52" t="n">
        <v>34450345</v>
      </c>
      <c r="AX31" s="52" t="n">
        <v>38256906</v>
      </c>
      <c r="AY31" s="52" t="n">
        <v>38129608</v>
      </c>
      <c r="AZ31" s="52" t="n">
        <v>40243790</v>
      </c>
      <c r="BA31" s="52" t="n">
        <v>33161894</v>
      </c>
      <c r="BB31" s="52" t="n">
        <v>33342068</v>
      </c>
      <c r="BC31" s="52" t="n">
        <v>39098898</v>
      </c>
      <c r="BD31" s="52" t="n">
        <v>34509522</v>
      </c>
      <c r="BE31" s="52" t="n">
        <v>30689709</v>
      </c>
      <c r="BF31" s="52" t="n">
        <v>33855537</v>
      </c>
      <c r="BG31" s="52" t="n">
        <v>27772552</v>
      </c>
      <c r="BH31" s="52" t="n">
        <v>32773372</v>
      </c>
      <c r="BI31" s="52" t="n">
        <v>29071972</v>
      </c>
      <c r="BJ31" s="52" t="n">
        <v>36443243</v>
      </c>
      <c r="BK31" s="52" t="n">
        <v>26942765</v>
      </c>
      <c r="BL31" s="52" t="n">
        <v>27661170</v>
      </c>
      <c r="BM31" s="52" t="n">
        <v>23283396</v>
      </c>
    </row>
    <row r="32" customFormat="false" ht="15" hidden="false" customHeight="false" outlineLevel="0" collapsed="false">
      <c r="A32" s="19" t="s">
        <v>181</v>
      </c>
      <c r="B32" s="22" t="s">
        <v>188</v>
      </c>
      <c r="C32" s="19" t="s">
        <v>189</v>
      </c>
      <c r="D32" s="52" t="n">
        <v>289</v>
      </c>
      <c r="E32" s="52" t="n">
        <v>223639736</v>
      </c>
      <c r="F32" s="52" t="n">
        <v>221207506</v>
      </c>
      <c r="G32" s="52" t="n">
        <v>225939534</v>
      </c>
      <c r="H32" s="52" t="n">
        <v>215546921</v>
      </c>
      <c r="I32" s="52" t="n">
        <v>210327382</v>
      </c>
      <c r="J32" s="52" t="n">
        <v>216047204</v>
      </c>
      <c r="K32" s="52" t="n">
        <v>368445544</v>
      </c>
      <c r="L32" s="52" t="n">
        <v>178901378</v>
      </c>
      <c r="M32" s="52" t="n">
        <v>188069686</v>
      </c>
      <c r="N32" s="52" t="n">
        <v>186413505</v>
      </c>
      <c r="O32" s="52" t="n">
        <v>197622197</v>
      </c>
      <c r="P32" s="52" t="n">
        <v>187277989</v>
      </c>
      <c r="Q32" s="52" t="n">
        <v>206228436</v>
      </c>
      <c r="R32" s="52" t="n">
        <v>198495961</v>
      </c>
      <c r="S32" s="52" t="n">
        <v>201505876</v>
      </c>
      <c r="T32" s="52" t="n">
        <v>207616784</v>
      </c>
      <c r="U32" s="52" t="n">
        <v>199621197</v>
      </c>
      <c r="V32" s="52" t="n">
        <v>228880899</v>
      </c>
      <c r="W32" s="52" t="n">
        <v>274638298</v>
      </c>
      <c r="X32" s="52" t="n">
        <v>281107128</v>
      </c>
      <c r="Y32" s="52" t="n">
        <v>257028652</v>
      </c>
      <c r="Z32" s="52" t="n">
        <v>239648853</v>
      </c>
      <c r="AA32" s="52" t="n">
        <v>223105929</v>
      </c>
      <c r="AB32" s="52" t="n">
        <v>229253097</v>
      </c>
      <c r="AC32" s="52" t="n">
        <v>231668601</v>
      </c>
      <c r="AD32" s="52" t="n">
        <v>322380205</v>
      </c>
      <c r="AE32" s="52" t="n">
        <v>194937011</v>
      </c>
      <c r="AF32" s="52" t="n">
        <v>237586929</v>
      </c>
      <c r="AG32" s="52" t="n">
        <v>220411672</v>
      </c>
      <c r="AH32" s="52" t="n">
        <v>195672061</v>
      </c>
      <c r="AI32" s="52" t="n">
        <v>188200498</v>
      </c>
      <c r="AJ32" s="52" t="n">
        <v>184037016</v>
      </c>
      <c r="AK32" s="52" t="n">
        <v>177103882</v>
      </c>
      <c r="AL32" s="52" t="n">
        <v>160765887</v>
      </c>
      <c r="AM32" s="52" t="n">
        <v>165300057</v>
      </c>
      <c r="AN32" s="52" t="n">
        <v>170759327</v>
      </c>
      <c r="AO32" s="52" t="n">
        <v>241485820</v>
      </c>
      <c r="AP32" s="52" t="n">
        <v>256750071</v>
      </c>
      <c r="AQ32" s="52" t="n">
        <v>188499654</v>
      </c>
      <c r="AR32" s="52" t="n">
        <v>219818424</v>
      </c>
      <c r="AS32" s="52" t="n">
        <v>207360623</v>
      </c>
      <c r="AT32" s="52" t="n">
        <v>226870475</v>
      </c>
      <c r="AU32" s="52" t="n">
        <v>182006599</v>
      </c>
      <c r="AV32" s="52" t="n">
        <v>188392463</v>
      </c>
      <c r="AW32" s="52" t="n">
        <v>229739131</v>
      </c>
      <c r="AX32" s="52" t="n">
        <v>232744551</v>
      </c>
      <c r="AY32" s="52" t="n">
        <v>257800693</v>
      </c>
      <c r="AZ32" s="52" t="n">
        <v>271838266</v>
      </c>
      <c r="BA32" s="52" t="n">
        <v>255216461</v>
      </c>
      <c r="BB32" s="52" t="n">
        <v>258063576</v>
      </c>
      <c r="BC32" s="52" t="n">
        <v>265978550</v>
      </c>
      <c r="BD32" s="52" t="n">
        <v>274876396</v>
      </c>
      <c r="BE32" s="52" t="n">
        <v>234964495</v>
      </c>
      <c r="BF32" s="52" t="n">
        <v>217147147</v>
      </c>
      <c r="BG32" s="52" t="n">
        <v>224233941</v>
      </c>
      <c r="BH32" s="52" t="n">
        <v>200731911</v>
      </c>
      <c r="BI32" s="52" t="n">
        <v>196766715</v>
      </c>
      <c r="BJ32" s="52" t="n">
        <v>259565151</v>
      </c>
      <c r="BK32" s="52" t="n">
        <v>174817192</v>
      </c>
      <c r="BL32" s="52" t="n">
        <v>199431280</v>
      </c>
      <c r="BM32" s="52" t="n">
        <v>175392743</v>
      </c>
    </row>
    <row r="33" customFormat="false" ht="15" hidden="false" customHeight="false" outlineLevel="0" collapsed="false">
      <c r="A33" s="19" t="s">
        <v>181</v>
      </c>
      <c r="B33" s="22" t="s">
        <v>213</v>
      </c>
      <c r="C33" s="19" t="s">
        <v>214</v>
      </c>
      <c r="D33" s="52" t="n">
        <v>193</v>
      </c>
      <c r="E33" s="52" t="n">
        <v>66800054</v>
      </c>
      <c r="F33" s="52" t="n">
        <v>60164766</v>
      </c>
      <c r="G33" s="52" t="n">
        <v>59073452</v>
      </c>
      <c r="H33" s="52" t="n">
        <v>59887216</v>
      </c>
      <c r="I33" s="52" t="n">
        <v>60518423</v>
      </c>
      <c r="J33" s="52" t="n">
        <v>62799024</v>
      </c>
      <c r="K33" s="52" t="n">
        <v>119898925</v>
      </c>
      <c r="L33" s="52" t="n">
        <v>35702564</v>
      </c>
      <c r="M33" s="52" t="n">
        <v>53048916</v>
      </c>
      <c r="N33" s="52" t="n">
        <v>54384244</v>
      </c>
      <c r="O33" s="52" t="n">
        <v>59920227</v>
      </c>
      <c r="P33" s="52" t="n">
        <v>57232130</v>
      </c>
      <c r="Q33" s="52" t="n">
        <v>57575392</v>
      </c>
      <c r="R33" s="52" t="n">
        <v>60920608</v>
      </c>
      <c r="S33" s="52" t="n">
        <v>61374914</v>
      </c>
      <c r="T33" s="52" t="n">
        <v>63015224</v>
      </c>
      <c r="U33" s="52" t="n">
        <v>67304448</v>
      </c>
      <c r="V33" s="52" t="n">
        <v>64278462</v>
      </c>
      <c r="W33" s="52" t="n">
        <v>82326117</v>
      </c>
      <c r="X33" s="52" t="n">
        <v>94786468</v>
      </c>
      <c r="Y33" s="52" t="n">
        <v>67658156</v>
      </c>
      <c r="Z33" s="52" t="n">
        <v>77126704</v>
      </c>
      <c r="AA33" s="52" t="n">
        <v>78164217</v>
      </c>
      <c r="AB33" s="52" t="n">
        <v>76338706</v>
      </c>
      <c r="AC33" s="52" t="n">
        <v>78587777</v>
      </c>
      <c r="AD33" s="52" t="n">
        <v>116444407</v>
      </c>
      <c r="AE33" s="52" t="n">
        <v>57447614</v>
      </c>
      <c r="AF33" s="52" t="n">
        <v>69915428</v>
      </c>
      <c r="AG33" s="52" t="n">
        <v>74070710</v>
      </c>
      <c r="AH33" s="52" t="n">
        <v>71211394</v>
      </c>
      <c r="AI33" s="52" t="n">
        <v>68137128</v>
      </c>
      <c r="AJ33" s="52" t="n">
        <v>72454635</v>
      </c>
      <c r="AK33" s="52" t="n">
        <v>72435183</v>
      </c>
      <c r="AL33" s="52" t="n">
        <v>71226630</v>
      </c>
      <c r="AM33" s="52" t="n">
        <v>67091478</v>
      </c>
      <c r="AN33" s="52" t="n">
        <v>64136745</v>
      </c>
      <c r="AO33" s="52" t="n">
        <v>75449004</v>
      </c>
      <c r="AP33" s="52" t="n">
        <v>80800821</v>
      </c>
      <c r="AQ33" s="52" t="n">
        <v>72111794</v>
      </c>
      <c r="AR33" s="52" t="n">
        <v>70358212</v>
      </c>
      <c r="AS33" s="52" t="n">
        <v>70986923</v>
      </c>
      <c r="AT33" s="52" t="n">
        <v>66108862</v>
      </c>
      <c r="AU33" s="52" t="n">
        <v>67850104</v>
      </c>
      <c r="AV33" s="52" t="n">
        <v>61750154</v>
      </c>
      <c r="AW33" s="52" t="n">
        <v>71467590</v>
      </c>
      <c r="AX33" s="52" t="n">
        <v>64884795</v>
      </c>
      <c r="AY33" s="52" t="n">
        <v>66977237</v>
      </c>
      <c r="AZ33" s="52" t="n">
        <v>73510749</v>
      </c>
      <c r="BA33" s="52" t="n">
        <v>71235287</v>
      </c>
      <c r="BB33" s="52" t="n">
        <v>68367411</v>
      </c>
      <c r="BC33" s="52" t="n">
        <v>76887669</v>
      </c>
      <c r="BD33" s="52" t="n">
        <v>78206988</v>
      </c>
      <c r="BE33" s="52" t="n">
        <v>69472102</v>
      </c>
      <c r="BF33" s="52" t="n">
        <v>72798033</v>
      </c>
      <c r="BG33" s="52" t="n">
        <v>72169019</v>
      </c>
      <c r="BH33" s="52" t="n">
        <v>63653273</v>
      </c>
      <c r="BI33" s="52" t="n">
        <v>68220597</v>
      </c>
      <c r="BJ33" s="52" t="n">
        <v>83841646</v>
      </c>
      <c r="BK33" s="52" t="n">
        <v>54967414</v>
      </c>
      <c r="BL33" s="52" t="n">
        <v>59555979</v>
      </c>
      <c r="BM33" s="52" t="n">
        <v>57014380</v>
      </c>
    </row>
    <row r="34" customFormat="false" ht="15" hidden="false" customHeight="false" outlineLevel="0" collapsed="false">
      <c r="A34" s="19" t="s">
        <v>181</v>
      </c>
      <c r="B34" s="22" t="s">
        <v>369</v>
      </c>
      <c r="C34" s="19" t="s">
        <v>370</v>
      </c>
      <c r="D34" s="52" t="n">
        <v>0</v>
      </c>
      <c r="E34" s="52" t="n">
        <v>6814669</v>
      </c>
      <c r="F34" s="52" t="n">
        <v>5593764</v>
      </c>
      <c r="G34" s="52" t="n">
        <v>6029684</v>
      </c>
      <c r="H34" s="52" t="n">
        <v>6024104</v>
      </c>
      <c r="I34" s="52" t="n">
        <v>5629922</v>
      </c>
      <c r="J34" s="52" t="n">
        <v>5790908</v>
      </c>
      <c r="K34" s="52" t="n">
        <v>8522847</v>
      </c>
      <c r="L34" s="52" t="n">
        <v>3202129</v>
      </c>
      <c r="M34" s="52" t="n">
        <v>5204124</v>
      </c>
      <c r="N34" s="52" t="n">
        <v>3676032</v>
      </c>
      <c r="O34" s="52" t="n">
        <v>5921834</v>
      </c>
      <c r="P34" s="52" t="n">
        <v>3910429</v>
      </c>
      <c r="Q34" s="52" t="n">
        <v>3358542</v>
      </c>
      <c r="R34" s="52" t="n">
        <v>4087454</v>
      </c>
      <c r="S34" s="52" t="n">
        <v>2293712</v>
      </c>
      <c r="T34" s="52" t="n">
        <v>3241710</v>
      </c>
      <c r="U34" s="52" t="n">
        <v>2575474</v>
      </c>
      <c r="V34" s="52" t="n">
        <v>2787972</v>
      </c>
      <c r="W34" s="52" t="n">
        <v>3084686</v>
      </c>
      <c r="X34" s="52" t="n">
        <v>3221124</v>
      </c>
      <c r="Y34" s="52" t="n">
        <v>3252662</v>
      </c>
      <c r="Z34" s="52" t="n">
        <v>2055020</v>
      </c>
      <c r="AA34" s="52" t="n">
        <v>2882214</v>
      </c>
      <c r="AB34" s="52" t="n">
        <v>2735410</v>
      </c>
      <c r="AC34" s="52" t="n">
        <v>4093816</v>
      </c>
      <c r="AD34" s="52" t="n">
        <v>3445452</v>
      </c>
      <c r="AE34" s="52" t="n">
        <v>922530</v>
      </c>
      <c r="AF34" s="52" t="n">
        <v>3164592</v>
      </c>
      <c r="AG34" s="52" t="n">
        <v>1662882</v>
      </c>
      <c r="AH34" s="52" t="n">
        <v>9827361</v>
      </c>
      <c r="AI34" s="52" t="n">
        <v>0</v>
      </c>
      <c r="AJ34" s="52" t="n">
        <v>0</v>
      </c>
      <c r="AK34" s="52" t="n">
        <v>0</v>
      </c>
      <c r="AL34" s="52" t="n">
        <v>0</v>
      </c>
      <c r="AM34" s="52" t="n">
        <v>0</v>
      </c>
      <c r="AN34" s="52" t="n">
        <v>0</v>
      </c>
      <c r="AO34" s="52" t="n">
        <v>0</v>
      </c>
      <c r="AP34" s="52" t="n">
        <v>0</v>
      </c>
      <c r="AQ34" s="52" t="n">
        <v>0</v>
      </c>
      <c r="AR34" s="52" t="n">
        <v>0</v>
      </c>
      <c r="AS34" s="52" t="n">
        <v>0</v>
      </c>
      <c r="AT34" s="52" t="n">
        <v>0</v>
      </c>
      <c r="AU34" s="52" t="n">
        <v>0</v>
      </c>
      <c r="AV34" s="52" t="n">
        <v>0</v>
      </c>
      <c r="AW34" s="52" t="n">
        <v>0</v>
      </c>
      <c r="AX34" s="52" t="n">
        <v>0</v>
      </c>
      <c r="AY34" s="52" t="n">
        <v>0</v>
      </c>
      <c r="AZ34" s="52" t="n">
        <v>0</v>
      </c>
      <c r="BA34" s="52" t="n">
        <v>0</v>
      </c>
      <c r="BB34" s="52" t="n">
        <v>0</v>
      </c>
      <c r="BC34" s="52" t="n">
        <v>0</v>
      </c>
      <c r="BD34" s="52" t="n">
        <v>0</v>
      </c>
      <c r="BE34" s="52" t="n">
        <v>0</v>
      </c>
      <c r="BF34" s="52" t="n">
        <v>0</v>
      </c>
      <c r="BG34" s="52" t="n">
        <v>0</v>
      </c>
      <c r="BH34" s="52" t="n">
        <v>0</v>
      </c>
      <c r="BI34" s="52" t="n">
        <v>0</v>
      </c>
      <c r="BJ34" s="52" t="n">
        <v>0</v>
      </c>
      <c r="BK34" s="52" t="n">
        <v>0</v>
      </c>
      <c r="BL34" s="52" t="n">
        <v>0</v>
      </c>
      <c r="BM34" s="52" t="n">
        <v>0</v>
      </c>
    </row>
    <row r="35" customFormat="false" ht="15" hidden="false" customHeight="false" outlineLevel="0" collapsed="false">
      <c r="A35" s="19" t="s">
        <v>181</v>
      </c>
      <c r="B35" s="22" t="s">
        <v>371</v>
      </c>
      <c r="C35" s="19" t="s">
        <v>372</v>
      </c>
      <c r="D35" s="52" t="n">
        <v>0</v>
      </c>
      <c r="E35" s="52" t="n">
        <v>3202450</v>
      </c>
      <c r="F35" s="52" t="n">
        <v>3235050</v>
      </c>
      <c r="G35" s="52" t="n">
        <v>2436490</v>
      </c>
      <c r="H35" s="52" t="n">
        <v>2804310</v>
      </c>
      <c r="I35" s="52" t="n">
        <v>2097570</v>
      </c>
      <c r="J35" s="52" t="n">
        <v>2488230</v>
      </c>
      <c r="K35" s="52" t="n">
        <v>3939020</v>
      </c>
      <c r="L35" s="52" t="n">
        <v>1153850</v>
      </c>
      <c r="M35" s="52" t="n">
        <v>2779900</v>
      </c>
      <c r="N35" s="52" t="n">
        <v>2970030</v>
      </c>
      <c r="O35" s="52" t="n">
        <v>2507450</v>
      </c>
      <c r="P35" s="52" t="n">
        <v>2233060</v>
      </c>
      <c r="Q35" s="52" t="n">
        <v>2270710</v>
      </c>
      <c r="R35" s="52" t="n">
        <v>1706850</v>
      </c>
      <c r="S35" s="52" t="n">
        <v>2833840</v>
      </c>
      <c r="T35" s="52" t="n">
        <v>1670020</v>
      </c>
      <c r="U35" s="52" t="n">
        <v>1522230</v>
      </c>
      <c r="V35" s="52" t="n">
        <v>2464260</v>
      </c>
      <c r="W35" s="52" t="n">
        <v>2176400</v>
      </c>
      <c r="X35" s="52" t="n">
        <v>2050540</v>
      </c>
      <c r="Y35" s="52" t="n">
        <v>1625000</v>
      </c>
      <c r="Z35" s="52" t="n">
        <v>2126140</v>
      </c>
      <c r="AA35" s="52" t="n">
        <v>1666270</v>
      </c>
      <c r="AB35" s="52" t="n">
        <v>1730120</v>
      </c>
      <c r="AC35" s="52" t="n">
        <v>2767570</v>
      </c>
      <c r="AD35" s="52" t="n">
        <v>1469670</v>
      </c>
      <c r="AE35" s="52" t="n">
        <v>1342250</v>
      </c>
      <c r="AF35" s="52" t="n">
        <v>1939420</v>
      </c>
      <c r="AG35" s="52" t="n">
        <v>1940880</v>
      </c>
      <c r="AH35" s="52" t="n">
        <v>1629900</v>
      </c>
      <c r="AI35" s="52" t="n">
        <v>0</v>
      </c>
      <c r="AJ35" s="52" t="n">
        <v>0</v>
      </c>
      <c r="AK35" s="52" t="n">
        <v>0</v>
      </c>
      <c r="AL35" s="52" t="n">
        <v>0</v>
      </c>
      <c r="AM35" s="52" t="n">
        <v>0</v>
      </c>
      <c r="AN35" s="52" t="n">
        <v>0</v>
      </c>
      <c r="AO35" s="52" t="n">
        <v>0</v>
      </c>
      <c r="AP35" s="52" t="n">
        <v>0</v>
      </c>
      <c r="AQ35" s="52" t="n">
        <v>0</v>
      </c>
      <c r="AR35" s="52" t="n">
        <v>0</v>
      </c>
      <c r="AS35" s="52" t="n">
        <v>0</v>
      </c>
      <c r="AT35" s="52" t="n">
        <v>0</v>
      </c>
      <c r="AU35" s="52" t="n">
        <v>0</v>
      </c>
      <c r="AV35" s="52" t="n">
        <v>0</v>
      </c>
      <c r="AW35" s="52" t="n">
        <v>0</v>
      </c>
      <c r="AX35" s="52" t="n">
        <v>0</v>
      </c>
      <c r="AY35" s="52" t="n">
        <v>0</v>
      </c>
      <c r="AZ35" s="52" t="n">
        <v>0</v>
      </c>
      <c r="BA35" s="52" t="n">
        <v>0</v>
      </c>
      <c r="BB35" s="52" t="n">
        <v>0</v>
      </c>
      <c r="BC35" s="52" t="n">
        <v>0</v>
      </c>
      <c r="BD35" s="52" t="n">
        <v>0</v>
      </c>
      <c r="BE35" s="52" t="n">
        <v>0</v>
      </c>
      <c r="BF35" s="52" t="n">
        <v>0</v>
      </c>
      <c r="BG35" s="52" t="n">
        <v>0</v>
      </c>
      <c r="BH35" s="52" t="n">
        <v>0</v>
      </c>
      <c r="BI35" s="52" t="n">
        <v>0</v>
      </c>
      <c r="BJ35" s="52" t="n">
        <v>0</v>
      </c>
      <c r="BK35" s="52" t="n">
        <v>0</v>
      </c>
      <c r="BL35" s="52" t="n">
        <v>0</v>
      </c>
      <c r="BM35" s="52" t="n">
        <v>0</v>
      </c>
    </row>
    <row r="36" customFormat="false" ht="15" hidden="false" customHeight="false" outlineLevel="0" collapsed="false">
      <c r="A36" s="19" t="s">
        <v>181</v>
      </c>
      <c r="B36" s="22" t="s">
        <v>373</v>
      </c>
      <c r="C36" s="19" t="s">
        <v>374</v>
      </c>
      <c r="D36" s="52" t="n">
        <v>0</v>
      </c>
      <c r="E36" s="52" t="n">
        <v>0</v>
      </c>
      <c r="F36" s="52" t="n">
        <v>0</v>
      </c>
      <c r="G36" s="52" t="n">
        <v>0</v>
      </c>
      <c r="H36" s="52" t="n">
        <v>0</v>
      </c>
      <c r="I36" s="52" t="n">
        <v>0</v>
      </c>
      <c r="J36" s="52" t="n">
        <v>0</v>
      </c>
      <c r="K36" s="52" t="n">
        <v>0</v>
      </c>
      <c r="L36" s="52" t="n">
        <v>0</v>
      </c>
      <c r="M36" s="52" t="n">
        <v>0</v>
      </c>
      <c r="N36" s="52" t="n">
        <v>0</v>
      </c>
      <c r="O36" s="52" t="n">
        <v>0</v>
      </c>
      <c r="P36" s="52" t="n">
        <v>0</v>
      </c>
      <c r="Q36" s="52" t="n">
        <v>0</v>
      </c>
      <c r="R36" s="52" t="n">
        <v>0</v>
      </c>
      <c r="S36" s="52" t="n">
        <v>0</v>
      </c>
      <c r="T36" s="52" t="n">
        <v>0</v>
      </c>
      <c r="U36" s="52" t="n">
        <v>0</v>
      </c>
      <c r="V36" s="52" t="n">
        <v>0</v>
      </c>
      <c r="W36" s="52" t="n">
        <v>0</v>
      </c>
      <c r="X36" s="52" t="n">
        <v>0</v>
      </c>
      <c r="Y36" s="52" t="n">
        <v>0</v>
      </c>
      <c r="Z36" s="52" t="n">
        <v>0</v>
      </c>
      <c r="AA36" s="52" t="n">
        <v>0</v>
      </c>
      <c r="AB36" s="52" t="n">
        <v>0</v>
      </c>
      <c r="AC36" s="52" t="n">
        <v>0</v>
      </c>
      <c r="AD36" s="52" t="n">
        <v>0</v>
      </c>
      <c r="AE36" s="52" t="n">
        <v>0</v>
      </c>
      <c r="AF36" s="52" t="n">
        <v>0</v>
      </c>
      <c r="AG36" s="52" t="n">
        <v>0</v>
      </c>
      <c r="AH36" s="52" t="n">
        <v>0</v>
      </c>
      <c r="AI36" s="52" t="n">
        <v>2273320</v>
      </c>
      <c r="AJ36" s="52" t="n">
        <v>2225130</v>
      </c>
      <c r="AK36" s="52" t="n">
        <v>2079030</v>
      </c>
      <c r="AL36" s="52" t="n">
        <v>2446990</v>
      </c>
      <c r="AM36" s="52" t="n">
        <v>4468070</v>
      </c>
      <c r="AN36" s="52" t="n">
        <v>3203560</v>
      </c>
      <c r="AO36" s="52" t="n">
        <v>4074250</v>
      </c>
      <c r="AP36" s="52" t="n">
        <v>4338320</v>
      </c>
      <c r="AQ36" s="52" t="n">
        <v>2880430</v>
      </c>
      <c r="AR36" s="52" t="n">
        <v>4588220</v>
      </c>
      <c r="AS36" s="52" t="n">
        <v>3713830</v>
      </c>
      <c r="AT36" s="52" t="n">
        <v>3321840</v>
      </c>
      <c r="AU36" s="52" t="n">
        <v>3427830</v>
      </c>
      <c r="AV36" s="52" t="n">
        <v>3096470</v>
      </c>
      <c r="AW36" s="52" t="n">
        <v>4034270</v>
      </c>
      <c r="AX36" s="52" t="n">
        <v>3527390</v>
      </c>
      <c r="AY36" s="52" t="n">
        <v>2431740</v>
      </c>
      <c r="AZ36" s="52" t="n">
        <v>0</v>
      </c>
      <c r="BA36" s="52" t="n">
        <v>0</v>
      </c>
      <c r="BB36" s="52" t="n">
        <v>0</v>
      </c>
      <c r="BC36" s="52" t="n">
        <v>0</v>
      </c>
      <c r="BD36" s="52" t="n">
        <v>0</v>
      </c>
      <c r="BE36" s="52" t="n">
        <v>0</v>
      </c>
      <c r="BF36" s="52" t="n">
        <v>0</v>
      </c>
      <c r="BG36" s="52" t="n">
        <v>0</v>
      </c>
      <c r="BH36" s="52" t="n">
        <v>0</v>
      </c>
      <c r="BI36" s="52" t="n">
        <v>0</v>
      </c>
      <c r="BJ36" s="52" t="n">
        <v>0</v>
      </c>
      <c r="BK36" s="52" t="n">
        <v>0</v>
      </c>
      <c r="BL36" s="52" t="n">
        <v>0</v>
      </c>
      <c r="BM36" s="52" t="n">
        <v>0</v>
      </c>
    </row>
    <row r="37" customFormat="false" ht="15" hidden="false" customHeight="false" outlineLevel="0" collapsed="false">
      <c r="A37" s="19" t="s">
        <v>181</v>
      </c>
      <c r="B37" s="22" t="s">
        <v>221</v>
      </c>
      <c r="C37" s="19" t="s">
        <v>70</v>
      </c>
      <c r="D37" s="52" t="n">
        <v>70</v>
      </c>
      <c r="E37" s="52" t="n">
        <v>83109535</v>
      </c>
      <c r="F37" s="52" t="n">
        <v>84264280</v>
      </c>
      <c r="G37" s="52" t="n">
        <v>81288603</v>
      </c>
      <c r="H37" s="52" t="n">
        <v>80584241</v>
      </c>
      <c r="I37" s="52" t="n">
        <v>79250456</v>
      </c>
      <c r="J37" s="52" t="n">
        <v>87394410</v>
      </c>
      <c r="K37" s="52" t="n">
        <v>133798040</v>
      </c>
      <c r="L37" s="52" t="n">
        <v>55515449</v>
      </c>
      <c r="M37" s="52" t="n">
        <v>70260734</v>
      </c>
      <c r="N37" s="52" t="n">
        <v>62567627</v>
      </c>
      <c r="O37" s="52" t="n">
        <v>71908821</v>
      </c>
      <c r="P37" s="52" t="n">
        <v>70023800</v>
      </c>
      <c r="Q37" s="52" t="n">
        <v>69492527</v>
      </c>
      <c r="R37" s="52" t="n">
        <v>64453798</v>
      </c>
      <c r="S37" s="52" t="n">
        <v>63116397</v>
      </c>
      <c r="T37" s="52" t="n">
        <v>61183522</v>
      </c>
      <c r="U37" s="52" t="n">
        <v>58008185</v>
      </c>
      <c r="V37" s="52" t="n">
        <v>63984544</v>
      </c>
      <c r="W37" s="52" t="n">
        <v>71784069</v>
      </c>
      <c r="X37" s="52" t="n">
        <v>76462569</v>
      </c>
      <c r="Y37" s="52" t="n">
        <v>64021541</v>
      </c>
      <c r="Z37" s="52" t="n">
        <v>58664582</v>
      </c>
      <c r="AA37" s="52" t="n">
        <v>59496606</v>
      </c>
      <c r="AB37" s="52" t="n">
        <v>54363789</v>
      </c>
      <c r="AC37" s="52" t="n">
        <v>54465984</v>
      </c>
      <c r="AD37" s="52" t="n">
        <v>88900085</v>
      </c>
      <c r="AE37" s="52" t="n">
        <v>52895927</v>
      </c>
      <c r="AF37" s="52" t="n">
        <v>61415669</v>
      </c>
      <c r="AG37" s="52" t="n">
        <v>63293421</v>
      </c>
      <c r="AH37" s="52" t="n">
        <v>62575742</v>
      </c>
      <c r="AI37" s="52" t="n">
        <v>69214142</v>
      </c>
      <c r="AJ37" s="52" t="n">
        <v>65544837</v>
      </c>
      <c r="AK37" s="52" t="n">
        <v>64260199</v>
      </c>
      <c r="AL37" s="52" t="n">
        <v>50307815</v>
      </c>
      <c r="AM37" s="52" t="n">
        <v>54141973</v>
      </c>
      <c r="AN37" s="52" t="n">
        <v>55905062</v>
      </c>
      <c r="AO37" s="52" t="n">
        <v>67009660</v>
      </c>
      <c r="AP37" s="52" t="n">
        <v>59515846</v>
      </c>
      <c r="AQ37" s="52" t="n">
        <v>55356853</v>
      </c>
      <c r="AR37" s="52" t="n">
        <v>60821397</v>
      </c>
      <c r="AS37" s="52" t="n">
        <v>59504719</v>
      </c>
      <c r="AT37" s="52" t="n">
        <v>59930776</v>
      </c>
      <c r="AU37" s="52" t="n">
        <v>56382756</v>
      </c>
      <c r="AV37" s="52" t="n">
        <v>55699644</v>
      </c>
      <c r="AW37" s="52" t="n">
        <v>57781787</v>
      </c>
      <c r="AX37" s="52" t="n">
        <v>54341864</v>
      </c>
      <c r="AY37" s="52" t="n">
        <v>52494613</v>
      </c>
      <c r="AZ37" s="52" t="n">
        <v>58037912</v>
      </c>
      <c r="BA37" s="52" t="n">
        <v>45068492</v>
      </c>
      <c r="BB37" s="52" t="n">
        <v>48914862</v>
      </c>
      <c r="BC37" s="52" t="n">
        <v>50347409</v>
      </c>
      <c r="BD37" s="52" t="n">
        <v>49808718</v>
      </c>
      <c r="BE37" s="52" t="n">
        <v>48372381</v>
      </c>
      <c r="BF37" s="52" t="n">
        <v>49201017</v>
      </c>
      <c r="BG37" s="52" t="n">
        <v>48542293</v>
      </c>
      <c r="BH37" s="52" t="n">
        <v>49537440</v>
      </c>
      <c r="BI37" s="52" t="n">
        <v>53631636</v>
      </c>
      <c r="BJ37" s="52" t="n">
        <v>60037814</v>
      </c>
      <c r="BK37" s="52" t="n">
        <v>44095409</v>
      </c>
      <c r="BL37" s="52" t="n">
        <v>46074810</v>
      </c>
      <c r="BM37" s="52" t="n">
        <v>39354545</v>
      </c>
    </row>
    <row r="38" customFormat="false" ht="15" hidden="false" customHeight="false" outlineLevel="0" collapsed="false">
      <c r="A38" s="19" t="s">
        <v>181</v>
      </c>
      <c r="B38" s="22" t="s">
        <v>376</v>
      </c>
      <c r="C38" s="19" t="s">
        <v>377</v>
      </c>
      <c r="D38" s="52" t="n">
        <v>0</v>
      </c>
      <c r="E38" s="52" t="n">
        <v>25264327</v>
      </c>
      <c r="F38" s="52" t="n">
        <v>21554219</v>
      </c>
      <c r="G38" s="52" t="n">
        <v>25773146</v>
      </c>
      <c r="H38" s="52" t="n">
        <v>23752906</v>
      </c>
      <c r="I38" s="52" t="n">
        <v>23147331</v>
      </c>
      <c r="J38" s="52" t="n">
        <v>21413973</v>
      </c>
      <c r="K38" s="52" t="n">
        <v>31242530</v>
      </c>
      <c r="L38" s="52" t="n">
        <v>12869733</v>
      </c>
      <c r="M38" s="52" t="n">
        <v>19468584</v>
      </c>
      <c r="N38" s="52" t="n">
        <v>20802254</v>
      </c>
      <c r="O38" s="52" t="n">
        <v>20473290</v>
      </c>
      <c r="P38" s="52" t="n">
        <v>18841579</v>
      </c>
      <c r="Q38" s="52" t="n">
        <v>19955511</v>
      </c>
      <c r="R38" s="52" t="n">
        <v>18930018</v>
      </c>
      <c r="S38" s="52" t="n">
        <v>17184387</v>
      </c>
      <c r="T38" s="52" t="n">
        <v>19454427</v>
      </c>
      <c r="U38" s="52" t="n">
        <v>17211054</v>
      </c>
      <c r="V38" s="52" t="n">
        <v>18740451</v>
      </c>
      <c r="W38" s="52" t="n">
        <v>21983432</v>
      </c>
      <c r="X38" s="52" t="n">
        <v>18550790</v>
      </c>
      <c r="Y38" s="52" t="n">
        <v>18753511</v>
      </c>
      <c r="Z38" s="52" t="n">
        <v>18071986</v>
      </c>
      <c r="AA38" s="52" t="n">
        <v>19089013</v>
      </c>
      <c r="AB38" s="52" t="n">
        <v>16550958</v>
      </c>
      <c r="AC38" s="52" t="n">
        <v>18646751</v>
      </c>
      <c r="AD38" s="52" t="n">
        <v>21911651</v>
      </c>
      <c r="AE38" s="52" t="n">
        <v>10614123</v>
      </c>
      <c r="AF38" s="52" t="n">
        <v>17002391</v>
      </c>
      <c r="AG38" s="52" t="n">
        <v>13690166</v>
      </c>
      <c r="AH38" s="52" t="n">
        <v>13290731</v>
      </c>
      <c r="AI38" s="52" t="n">
        <v>15409022</v>
      </c>
      <c r="AJ38" s="52" t="n">
        <v>16465761</v>
      </c>
      <c r="AK38" s="52" t="n">
        <v>14789452</v>
      </c>
      <c r="AL38" s="52" t="n">
        <v>15032366</v>
      </c>
      <c r="AM38" s="52" t="n">
        <v>13263442</v>
      </c>
      <c r="AN38" s="52" t="n">
        <v>23074160</v>
      </c>
      <c r="AO38" s="52" t="n">
        <v>-8050</v>
      </c>
      <c r="AP38" s="52" t="n">
        <v>0</v>
      </c>
      <c r="AQ38" s="52" t="n">
        <v>0</v>
      </c>
      <c r="AR38" s="52" t="n">
        <v>-11700</v>
      </c>
      <c r="AS38" s="52" t="n">
        <v>0</v>
      </c>
      <c r="AT38" s="52" t="n">
        <v>0</v>
      </c>
      <c r="AU38" s="52" t="n">
        <v>-22600</v>
      </c>
      <c r="AV38" s="52" t="n">
        <v>0</v>
      </c>
      <c r="AW38" s="52" t="n">
        <v>0</v>
      </c>
      <c r="AX38" s="52" t="n">
        <v>0</v>
      </c>
      <c r="AY38" s="52" t="n">
        <v>0</v>
      </c>
      <c r="AZ38" s="52" t="n">
        <v>0</v>
      </c>
      <c r="BA38" s="52" t="n">
        <v>0</v>
      </c>
      <c r="BB38" s="52" t="n">
        <v>0</v>
      </c>
      <c r="BC38" s="52" t="n">
        <v>0</v>
      </c>
      <c r="BD38" s="52" t="n">
        <v>0</v>
      </c>
      <c r="BE38" s="52" t="n">
        <v>0</v>
      </c>
      <c r="BF38" s="52" t="n">
        <v>0</v>
      </c>
      <c r="BG38" s="52" t="n">
        <v>0</v>
      </c>
      <c r="BH38" s="52" t="n">
        <v>0</v>
      </c>
      <c r="BI38" s="52" t="n">
        <v>0</v>
      </c>
      <c r="BJ38" s="52" t="n">
        <v>0</v>
      </c>
      <c r="BK38" s="52" t="n">
        <v>0</v>
      </c>
      <c r="BL38" s="52" t="n">
        <v>0</v>
      </c>
      <c r="BM38" s="52" t="n">
        <v>0</v>
      </c>
    </row>
    <row r="39" customFormat="false" ht="15" hidden="false" customHeight="false" outlineLevel="0" collapsed="false">
      <c r="A39" s="19" t="s">
        <v>181</v>
      </c>
      <c r="B39" s="22" t="s">
        <v>233</v>
      </c>
      <c r="C39" s="19" t="s">
        <v>234</v>
      </c>
      <c r="D39" s="52" t="n">
        <v>12</v>
      </c>
      <c r="E39" s="52" t="n">
        <v>33388480</v>
      </c>
      <c r="F39" s="52" t="n">
        <v>29826200</v>
      </c>
      <c r="G39" s="52" t="n">
        <v>31995190</v>
      </c>
      <c r="H39" s="52" t="n">
        <v>20495950</v>
      </c>
      <c r="I39" s="52" t="n">
        <v>27762880</v>
      </c>
      <c r="J39" s="52" t="n">
        <v>32906819</v>
      </c>
      <c r="K39" s="52" t="n">
        <v>55927690</v>
      </c>
      <c r="L39" s="52" t="n">
        <v>19953440</v>
      </c>
      <c r="M39" s="52" t="n">
        <v>27130180</v>
      </c>
      <c r="N39" s="52" t="n">
        <v>25309770</v>
      </c>
      <c r="O39" s="52" t="n">
        <v>28319570</v>
      </c>
      <c r="P39" s="52" t="n">
        <v>27494290</v>
      </c>
      <c r="Q39" s="52" t="n">
        <v>23005420</v>
      </c>
      <c r="R39" s="52" t="n">
        <v>25339270</v>
      </c>
      <c r="S39" s="52" t="n">
        <v>22021560</v>
      </c>
      <c r="T39" s="52" t="n">
        <v>24717760</v>
      </c>
      <c r="U39" s="52" t="n">
        <v>22066570</v>
      </c>
      <c r="V39" s="52" t="n">
        <v>21811430</v>
      </c>
      <c r="W39" s="52" t="n">
        <v>30947030</v>
      </c>
      <c r="X39" s="52" t="n">
        <v>35242555</v>
      </c>
      <c r="Y39" s="52" t="n">
        <v>24913885</v>
      </c>
      <c r="Z39" s="52" t="n">
        <v>25366100</v>
      </c>
      <c r="AA39" s="52" t="n">
        <v>28654295</v>
      </c>
      <c r="AB39" s="52" t="n">
        <v>21637680</v>
      </c>
      <c r="AC39" s="52" t="n">
        <v>24878915</v>
      </c>
      <c r="AD39" s="52" t="n">
        <v>44881030</v>
      </c>
      <c r="AE39" s="52" t="n">
        <v>19777070</v>
      </c>
      <c r="AF39" s="52" t="n">
        <v>21048260</v>
      </c>
      <c r="AG39" s="52" t="n">
        <v>30801285</v>
      </c>
      <c r="AH39" s="52" t="n">
        <v>31256970</v>
      </c>
      <c r="AI39" s="52" t="n">
        <v>28318095</v>
      </c>
      <c r="AJ39" s="52" t="n">
        <v>30695325</v>
      </c>
      <c r="AK39" s="52" t="n">
        <v>27352330</v>
      </c>
      <c r="AL39" s="52" t="n">
        <v>32030400</v>
      </c>
      <c r="AM39" s="52" t="n">
        <v>27710680</v>
      </c>
      <c r="AN39" s="52" t="n">
        <v>24954690</v>
      </c>
      <c r="AO39" s="52" t="n">
        <v>26715310</v>
      </c>
      <c r="AP39" s="52" t="n">
        <v>29902170</v>
      </c>
      <c r="AQ39" s="52" t="n">
        <v>23496720</v>
      </c>
      <c r="AR39" s="52" t="n">
        <v>25558020</v>
      </c>
      <c r="AS39" s="52" t="n">
        <v>26756585</v>
      </c>
      <c r="AT39" s="52" t="n">
        <v>31542085</v>
      </c>
      <c r="AU39" s="52" t="n">
        <v>22904070</v>
      </c>
      <c r="AV39" s="52" t="n">
        <v>27715090</v>
      </c>
      <c r="AW39" s="52" t="n">
        <v>30378280</v>
      </c>
      <c r="AX39" s="52" t="n">
        <v>28226460</v>
      </c>
      <c r="AY39" s="52" t="n">
        <v>28658650</v>
      </c>
      <c r="AZ39" s="52" t="n">
        <v>26969100</v>
      </c>
      <c r="BA39" s="52" t="n">
        <v>26403365</v>
      </c>
      <c r="BB39" s="52" t="n">
        <v>30736320</v>
      </c>
      <c r="BC39" s="52" t="n">
        <v>32090180</v>
      </c>
      <c r="BD39" s="52" t="n">
        <v>31957510</v>
      </c>
      <c r="BE39" s="52" t="n">
        <v>26475890</v>
      </c>
      <c r="BF39" s="52" t="n">
        <v>29169930</v>
      </c>
      <c r="BG39" s="52" t="n">
        <v>30889950</v>
      </c>
      <c r="BH39" s="52" t="n">
        <v>27037565</v>
      </c>
      <c r="BI39" s="52" t="n">
        <v>24211940</v>
      </c>
      <c r="BJ39" s="52" t="n">
        <v>35252680</v>
      </c>
      <c r="BK39" s="52" t="n">
        <v>21282565</v>
      </c>
      <c r="BL39" s="52" t="n">
        <v>25103415</v>
      </c>
      <c r="BM39" s="52" t="n">
        <v>23780920</v>
      </c>
    </row>
    <row r="40" customFormat="false" ht="15" hidden="false" customHeight="false" outlineLevel="0" collapsed="false">
      <c r="A40" s="19" t="s">
        <v>181</v>
      </c>
      <c r="B40" s="22" t="s">
        <v>243</v>
      </c>
      <c r="C40" s="19" t="s">
        <v>244</v>
      </c>
      <c r="D40" s="52" t="n">
        <v>43</v>
      </c>
      <c r="E40" s="52" t="n">
        <v>43890100</v>
      </c>
      <c r="F40" s="52" t="n">
        <v>39008150</v>
      </c>
      <c r="G40" s="52" t="n">
        <v>32264760</v>
      </c>
      <c r="H40" s="52" t="n">
        <v>24797611</v>
      </c>
      <c r="I40" s="52" t="n">
        <v>24804182</v>
      </c>
      <c r="J40" s="52" t="n">
        <v>26055610</v>
      </c>
      <c r="K40" s="52" t="n">
        <v>34834963</v>
      </c>
      <c r="L40" s="52" t="n">
        <v>11312900</v>
      </c>
      <c r="M40" s="52" t="n">
        <v>21094821</v>
      </c>
      <c r="N40" s="52" t="n">
        <v>17710909</v>
      </c>
      <c r="O40" s="52" t="n">
        <v>18107118</v>
      </c>
      <c r="P40" s="52" t="n">
        <v>16237385</v>
      </c>
      <c r="Q40" s="52" t="n">
        <v>18938939</v>
      </c>
      <c r="R40" s="52" t="n">
        <v>20387437</v>
      </c>
      <c r="S40" s="52" t="n">
        <v>15538881</v>
      </c>
      <c r="T40" s="52" t="n">
        <v>16419104</v>
      </c>
      <c r="U40" s="52" t="n">
        <v>19258731</v>
      </c>
      <c r="V40" s="52" t="n">
        <v>19160668</v>
      </c>
      <c r="W40" s="52" t="n">
        <v>19032464</v>
      </c>
      <c r="X40" s="52" t="n">
        <v>18009798</v>
      </c>
      <c r="Y40" s="52" t="n">
        <v>16352577</v>
      </c>
      <c r="Z40" s="52" t="n">
        <v>16592835</v>
      </c>
      <c r="AA40" s="52" t="n">
        <v>18702450</v>
      </c>
      <c r="AB40" s="52" t="n">
        <v>18760412</v>
      </c>
      <c r="AC40" s="52" t="n">
        <v>19078998</v>
      </c>
      <c r="AD40" s="52" t="n">
        <v>27192439</v>
      </c>
      <c r="AE40" s="52" t="n">
        <v>15558619</v>
      </c>
      <c r="AF40" s="52" t="n">
        <v>24733784</v>
      </c>
      <c r="AG40" s="52" t="n">
        <v>19554071</v>
      </c>
      <c r="AH40" s="52" t="n">
        <v>19895730</v>
      </c>
      <c r="AI40" s="52" t="n">
        <v>22291551</v>
      </c>
      <c r="AJ40" s="52" t="n">
        <v>22412245</v>
      </c>
      <c r="AK40" s="52" t="n">
        <v>27425241</v>
      </c>
      <c r="AL40" s="52" t="n">
        <v>20792342</v>
      </c>
      <c r="AM40" s="52" t="n">
        <v>26495079</v>
      </c>
      <c r="AN40" s="52" t="n">
        <v>30020720</v>
      </c>
      <c r="AO40" s="52" t="n">
        <v>31276593</v>
      </c>
      <c r="AP40" s="52" t="n">
        <v>31360023</v>
      </c>
      <c r="AQ40" s="52" t="n">
        <v>40322298</v>
      </c>
      <c r="AR40" s="52" t="n">
        <v>40729206</v>
      </c>
      <c r="AS40" s="52" t="n">
        <v>36693138</v>
      </c>
      <c r="AT40" s="52" t="n">
        <v>46748298</v>
      </c>
      <c r="AU40" s="52" t="n">
        <v>32684428</v>
      </c>
      <c r="AV40" s="52" t="n">
        <v>38198670</v>
      </c>
      <c r="AW40" s="52" t="n">
        <v>29297826</v>
      </c>
      <c r="AX40" s="52" t="n">
        <v>35362198</v>
      </c>
      <c r="AY40" s="52" t="n">
        <v>30547579</v>
      </c>
      <c r="AZ40" s="52" t="n">
        <v>37611558</v>
      </c>
      <c r="BA40" s="52" t="n">
        <v>31467891</v>
      </c>
      <c r="BB40" s="52" t="n">
        <v>37281610</v>
      </c>
      <c r="BC40" s="52" t="n">
        <v>46195795</v>
      </c>
      <c r="BD40" s="52" t="n">
        <v>30852460</v>
      </c>
      <c r="BE40" s="52" t="n">
        <v>21097848</v>
      </c>
      <c r="BF40" s="52" t="n">
        <v>24510185</v>
      </c>
      <c r="BG40" s="52" t="n">
        <v>20904915</v>
      </c>
      <c r="BH40" s="52" t="n">
        <v>16338437</v>
      </c>
      <c r="BI40" s="52" t="n">
        <v>16866005</v>
      </c>
      <c r="BJ40" s="52" t="n">
        <v>19664811</v>
      </c>
      <c r="BK40" s="52" t="n">
        <v>15347771</v>
      </c>
      <c r="BL40" s="52" t="n">
        <v>15770688</v>
      </c>
      <c r="BM40" s="52" t="n">
        <v>14672839</v>
      </c>
    </row>
    <row r="41" customFormat="false" ht="15" hidden="false" customHeight="false" outlineLevel="0" collapsed="false">
      <c r="A41" s="19" t="s">
        <v>181</v>
      </c>
      <c r="B41" s="22" t="s">
        <v>379</v>
      </c>
      <c r="C41" s="19" t="s">
        <v>380</v>
      </c>
      <c r="D41" s="52" t="n">
        <v>0</v>
      </c>
      <c r="E41" s="52" t="n">
        <v>21547600</v>
      </c>
      <c r="F41" s="52" t="n">
        <v>17585199</v>
      </c>
      <c r="G41" s="52" t="n">
        <v>16394790</v>
      </c>
      <c r="H41" s="52" t="n">
        <v>18033950</v>
      </c>
      <c r="I41" s="52" t="n">
        <v>18205740</v>
      </c>
      <c r="J41" s="52" t="n">
        <v>17717430</v>
      </c>
      <c r="K41" s="52" t="n">
        <v>29752450</v>
      </c>
      <c r="L41" s="52" t="n">
        <v>12576650</v>
      </c>
      <c r="M41" s="52" t="n">
        <v>17291620</v>
      </c>
      <c r="N41" s="52" t="n">
        <v>16916210</v>
      </c>
      <c r="O41" s="52" t="n">
        <v>17140560</v>
      </c>
      <c r="P41" s="52" t="n">
        <v>19601090</v>
      </c>
      <c r="Q41" s="52" t="n">
        <v>17328050</v>
      </c>
      <c r="R41" s="52" t="n">
        <v>17520950</v>
      </c>
      <c r="S41" s="52" t="n">
        <v>17947280</v>
      </c>
      <c r="T41" s="52" t="n">
        <v>17224940</v>
      </c>
      <c r="U41" s="52" t="n">
        <v>15416140</v>
      </c>
      <c r="V41" s="52" t="n">
        <v>15603950</v>
      </c>
      <c r="W41" s="52" t="n">
        <v>17789890</v>
      </c>
      <c r="X41" s="52" t="n">
        <v>15270290</v>
      </c>
      <c r="Y41" s="52" t="n">
        <v>14004200</v>
      </c>
      <c r="Z41" s="52" t="n">
        <v>12337910</v>
      </c>
      <c r="AA41" s="52" t="n">
        <v>13231670</v>
      </c>
      <c r="AB41" s="52" t="n">
        <v>13427860</v>
      </c>
      <c r="AC41" s="52" t="n">
        <v>12785170</v>
      </c>
      <c r="AD41" s="52" t="n">
        <v>17784298</v>
      </c>
      <c r="AE41" s="52" t="n">
        <v>10167580</v>
      </c>
      <c r="AF41" s="52" t="n">
        <v>11715062</v>
      </c>
      <c r="AG41" s="52" t="n">
        <v>12169420</v>
      </c>
      <c r="AH41" s="52" t="n">
        <v>11833064</v>
      </c>
      <c r="AI41" s="52" t="n">
        <v>10487040</v>
      </c>
      <c r="AJ41" s="52" t="n">
        <v>10902880</v>
      </c>
      <c r="AK41" s="52" t="n">
        <v>12178044</v>
      </c>
      <c r="AL41" s="52" t="n">
        <v>10648900</v>
      </c>
      <c r="AM41" s="52" t="n">
        <v>10533100</v>
      </c>
      <c r="AN41" s="52" t="n">
        <v>9848240</v>
      </c>
      <c r="AO41" s="52" t="n">
        <v>12430390</v>
      </c>
      <c r="AP41" s="52" t="n">
        <v>9904136</v>
      </c>
      <c r="AQ41" s="52" t="n">
        <v>12594010</v>
      </c>
      <c r="AR41" s="52" t="n">
        <v>11686870</v>
      </c>
      <c r="AS41" s="52" t="n">
        <v>9959180</v>
      </c>
      <c r="AT41" s="52" t="n">
        <v>10186260</v>
      </c>
      <c r="AU41" s="52" t="n">
        <v>11543720</v>
      </c>
      <c r="AV41" s="52" t="n">
        <v>10718380</v>
      </c>
      <c r="AW41" s="52" t="n">
        <v>11674950</v>
      </c>
      <c r="AX41" s="52" t="n">
        <v>67090100</v>
      </c>
      <c r="AY41" s="52" t="n">
        <v>0</v>
      </c>
      <c r="AZ41" s="52" t="n">
        <v>0</v>
      </c>
      <c r="BA41" s="52" t="n">
        <v>0</v>
      </c>
      <c r="BB41" s="52" t="n">
        <v>0</v>
      </c>
      <c r="BC41" s="52" t="n">
        <v>0</v>
      </c>
      <c r="BD41" s="52" t="n">
        <v>0</v>
      </c>
      <c r="BE41" s="52" t="n">
        <v>0</v>
      </c>
      <c r="BF41" s="52" t="n">
        <v>0</v>
      </c>
      <c r="BG41" s="52" t="n">
        <v>0</v>
      </c>
      <c r="BH41" s="52" t="n">
        <v>0</v>
      </c>
      <c r="BI41" s="52" t="n">
        <v>0</v>
      </c>
      <c r="BJ41" s="52" t="n">
        <v>0</v>
      </c>
      <c r="BK41" s="52" t="n">
        <v>0</v>
      </c>
      <c r="BL41" s="52" t="n">
        <v>0</v>
      </c>
      <c r="BM41" s="52" t="n">
        <v>0</v>
      </c>
    </row>
    <row r="42" customFormat="false" ht="15" hidden="false" customHeight="false" outlineLevel="0" collapsed="false">
      <c r="A42" s="19" t="s">
        <v>181</v>
      </c>
      <c r="B42" s="22" t="s">
        <v>278</v>
      </c>
      <c r="C42" s="19" t="s">
        <v>279</v>
      </c>
      <c r="D42" s="52" t="n">
        <v>6</v>
      </c>
      <c r="E42" s="52" t="n">
        <v>38378345</v>
      </c>
      <c r="F42" s="52" t="n">
        <v>72589050</v>
      </c>
      <c r="G42" s="52" t="n">
        <v>81425461</v>
      </c>
      <c r="H42" s="52" t="n">
        <v>100371337</v>
      </c>
      <c r="I42" s="52" t="n">
        <v>111604579</v>
      </c>
      <c r="J42" s="52" t="n">
        <v>122236763</v>
      </c>
      <c r="K42" s="52" t="n">
        <v>206719977</v>
      </c>
      <c r="L42" s="52" t="n">
        <v>60325544</v>
      </c>
      <c r="M42" s="52" t="n">
        <v>83825425</v>
      </c>
      <c r="N42" s="52" t="n">
        <v>104130500</v>
      </c>
      <c r="O42" s="52" t="n">
        <v>103756208</v>
      </c>
      <c r="P42" s="52" t="n">
        <v>113957155</v>
      </c>
      <c r="Q42" s="52" t="n">
        <v>98539374</v>
      </c>
      <c r="R42" s="52" t="n">
        <v>106174407</v>
      </c>
      <c r="S42" s="52" t="n">
        <v>112062270</v>
      </c>
      <c r="T42" s="52" t="n">
        <v>115900288</v>
      </c>
      <c r="U42" s="52" t="n">
        <v>105066622</v>
      </c>
      <c r="V42" s="52" t="n">
        <v>97398350</v>
      </c>
      <c r="W42" s="52" t="n">
        <v>120012322</v>
      </c>
      <c r="X42" s="52" t="n">
        <v>108433643</v>
      </c>
      <c r="Y42" s="52" t="n">
        <v>102457694</v>
      </c>
      <c r="Z42" s="52" t="n">
        <v>92317565</v>
      </c>
      <c r="AA42" s="52" t="n">
        <v>95981896</v>
      </c>
      <c r="AB42" s="52" t="n">
        <v>80799553</v>
      </c>
      <c r="AC42" s="52" t="n">
        <v>87097526</v>
      </c>
      <c r="AD42" s="52" t="n">
        <v>122466652</v>
      </c>
      <c r="AE42" s="52" t="n">
        <v>65000569</v>
      </c>
      <c r="AF42" s="52" t="n">
        <v>74410490</v>
      </c>
      <c r="AG42" s="52" t="n">
        <v>82759818</v>
      </c>
      <c r="AH42" s="52" t="n">
        <v>67976238</v>
      </c>
      <c r="AI42" s="52" t="n">
        <v>69955224</v>
      </c>
      <c r="AJ42" s="52" t="n">
        <v>70839162</v>
      </c>
      <c r="AK42" s="52" t="n">
        <v>66648108</v>
      </c>
      <c r="AL42" s="52" t="n">
        <v>68886434</v>
      </c>
      <c r="AM42" s="52" t="n">
        <v>54739004</v>
      </c>
      <c r="AN42" s="52" t="n">
        <v>48361330</v>
      </c>
      <c r="AO42" s="52" t="n">
        <v>59675884</v>
      </c>
      <c r="AP42" s="52" t="n">
        <v>54030106</v>
      </c>
      <c r="AQ42" s="52" t="n">
        <v>51494436</v>
      </c>
      <c r="AR42" s="52" t="n">
        <v>34949707</v>
      </c>
      <c r="AS42" s="52" t="n">
        <v>37312708</v>
      </c>
      <c r="AT42" s="52" t="n">
        <v>34605048</v>
      </c>
      <c r="AU42" s="52" t="n">
        <v>29495924</v>
      </c>
      <c r="AV42" s="52" t="n">
        <v>26586741</v>
      </c>
      <c r="AW42" s="52" t="n">
        <v>26691560</v>
      </c>
      <c r="AX42" s="52" t="n">
        <v>23553190</v>
      </c>
      <c r="AY42" s="52" t="n">
        <v>23204114</v>
      </c>
      <c r="AZ42" s="52" t="n">
        <v>19648068</v>
      </c>
      <c r="BA42" s="52" t="n">
        <v>20494036</v>
      </c>
      <c r="BB42" s="52" t="n">
        <v>14509093</v>
      </c>
      <c r="BC42" s="52" t="n">
        <v>20409751</v>
      </c>
      <c r="BD42" s="52" t="n">
        <v>17299542</v>
      </c>
      <c r="BE42" s="52" t="n">
        <v>17422384</v>
      </c>
      <c r="BF42" s="52" t="n">
        <v>14170212</v>
      </c>
      <c r="BG42" s="52" t="n">
        <v>9878513</v>
      </c>
      <c r="BH42" s="52" t="n">
        <v>9558922</v>
      </c>
      <c r="BI42" s="52" t="n">
        <v>11462125</v>
      </c>
      <c r="BJ42" s="52" t="n">
        <v>8469916</v>
      </c>
      <c r="BK42" s="52" t="n">
        <v>7514031</v>
      </c>
      <c r="BL42" s="52" t="n">
        <v>4822815</v>
      </c>
      <c r="BM42" s="52" t="n">
        <v>5619343</v>
      </c>
    </row>
    <row r="43" customFormat="false" ht="15" hidden="false" customHeight="false" outlineLevel="0" collapsed="false">
      <c r="A43" s="19" t="s">
        <v>181</v>
      </c>
      <c r="B43" s="22" t="s">
        <v>204</v>
      </c>
      <c r="C43" s="19" t="s">
        <v>205</v>
      </c>
      <c r="D43" s="52" t="n">
        <v>44</v>
      </c>
      <c r="E43" s="52" t="n">
        <v>94418173</v>
      </c>
      <c r="F43" s="52" t="n">
        <v>98169153</v>
      </c>
      <c r="G43" s="52" t="n">
        <v>99383950</v>
      </c>
      <c r="H43" s="52" t="n">
        <v>89490597</v>
      </c>
      <c r="I43" s="52" t="n">
        <v>91889521</v>
      </c>
      <c r="J43" s="52" t="n">
        <v>89903642</v>
      </c>
      <c r="K43" s="52" t="n">
        <v>149460942</v>
      </c>
      <c r="L43" s="52" t="n">
        <v>55794539</v>
      </c>
      <c r="M43" s="52" t="n">
        <v>85421905</v>
      </c>
      <c r="N43" s="52" t="n">
        <v>92617549</v>
      </c>
      <c r="O43" s="52" t="n">
        <v>91782344</v>
      </c>
      <c r="P43" s="52" t="n">
        <v>93066266</v>
      </c>
      <c r="Q43" s="52" t="n">
        <v>84794795</v>
      </c>
      <c r="R43" s="52" t="n">
        <v>79754698</v>
      </c>
      <c r="S43" s="52" t="n">
        <v>79388424</v>
      </c>
      <c r="T43" s="52" t="n">
        <v>80507900</v>
      </c>
      <c r="U43" s="52" t="n">
        <v>85404853</v>
      </c>
      <c r="V43" s="52" t="n">
        <v>86186221</v>
      </c>
      <c r="W43" s="52" t="n">
        <v>95883408</v>
      </c>
      <c r="X43" s="52" t="n">
        <v>92422479</v>
      </c>
      <c r="Y43" s="52" t="n">
        <v>77766290</v>
      </c>
      <c r="Z43" s="52" t="n">
        <v>78398673</v>
      </c>
      <c r="AA43" s="52" t="n">
        <v>72751299</v>
      </c>
      <c r="AB43" s="52" t="n">
        <v>76458284</v>
      </c>
      <c r="AC43" s="52" t="n">
        <v>77952245</v>
      </c>
      <c r="AD43" s="52" t="n">
        <v>101558412</v>
      </c>
      <c r="AE43" s="52" t="n">
        <v>55846940</v>
      </c>
      <c r="AF43" s="52" t="n">
        <v>79153263</v>
      </c>
      <c r="AG43" s="52" t="n">
        <v>81517788</v>
      </c>
      <c r="AH43" s="52" t="n">
        <v>84240572</v>
      </c>
      <c r="AI43" s="52" t="n">
        <v>82657370</v>
      </c>
      <c r="AJ43" s="52" t="n">
        <v>83809540</v>
      </c>
      <c r="AK43" s="52" t="n">
        <v>87506107</v>
      </c>
      <c r="AL43" s="52" t="n">
        <v>83877715</v>
      </c>
      <c r="AM43" s="52" t="n">
        <v>84462343</v>
      </c>
      <c r="AN43" s="52" t="n">
        <v>83548876</v>
      </c>
      <c r="AO43" s="52" t="n">
        <v>87380887</v>
      </c>
      <c r="AP43" s="52" t="n">
        <v>82681033</v>
      </c>
      <c r="AQ43" s="52" t="n">
        <v>82523202</v>
      </c>
      <c r="AR43" s="52" t="n">
        <v>95280244</v>
      </c>
      <c r="AS43" s="52" t="n">
        <v>89832723</v>
      </c>
      <c r="AT43" s="52" t="n">
        <v>93318053</v>
      </c>
      <c r="AU43" s="52" t="n">
        <v>87759022</v>
      </c>
      <c r="AV43" s="52" t="n">
        <v>85093456</v>
      </c>
      <c r="AW43" s="52" t="n">
        <v>86944284</v>
      </c>
      <c r="AX43" s="52" t="n">
        <v>88264933</v>
      </c>
      <c r="AY43" s="52" t="n">
        <v>81169439</v>
      </c>
      <c r="AZ43" s="52" t="n">
        <v>98863608</v>
      </c>
      <c r="BA43" s="52" t="n">
        <v>87050309</v>
      </c>
      <c r="BB43" s="52" t="n">
        <v>95243664</v>
      </c>
      <c r="BC43" s="52" t="n">
        <v>98470053</v>
      </c>
      <c r="BD43" s="52" t="n">
        <v>95085321</v>
      </c>
      <c r="BE43" s="52" t="n">
        <v>85853043</v>
      </c>
      <c r="BF43" s="52" t="n">
        <v>86950968</v>
      </c>
      <c r="BG43" s="52" t="n">
        <v>80891946</v>
      </c>
      <c r="BH43" s="52" t="n">
        <v>83582572</v>
      </c>
      <c r="BI43" s="52" t="n">
        <v>84645133</v>
      </c>
      <c r="BJ43" s="52" t="n">
        <v>87156757</v>
      </c>
      <c r="BK43" s="52" t="n">
        <v>83202616</v>
      </c>
      <c r="BL43" s="52" t="n">
        <v>88340034</v>
      </c>
      <c r="BM43" s="52" t="n">
        <v>78571576</v>
      </c>
    </row>
    <row r="44" customFormat="false" ht="15" hidden="false" customHeight="false" outlineLevel="0" collapsed="false">
      <c r="A44" s="19" t="s">
        <v>181</v>
      </c>
      <c r="B44" s="22" t="s">
        <v>210</v>
      </c>
      <c r="C44" s="19" t="s">
        <v>211</v>
      </c>
      <c r="D44" s="52" t="n">
        <v>42</v>
      </c>
      <c r="E44" s="52" t="n">
        <v>58358224</v>
      </c>
      <c r="F44" s="52" t="n">
        <v>57817972</v>
      </c>
      <c r="G44" s="52" t="n">
        <v>64738170</v>
      </c>
      <c r="H44" s="52" t="n">
        <v>58011782</v>
      </c>
      <c r="I44" s="52" t="n">
        <v>62507296</v>
      </c>
      <c r="J44" s="52" t="n">
        <v>64630088</v>
      </c>
      <c r="K44" s="52" t="n">
        <v>95972358</v>
      </c>
      <c r="L44" s="52" t="n">
        <v>33090710</v>
      </c>
      <c r="M44" s="52" t="n">
        <v>61888510</v>
      </c>
      <c r="N44" s="52" t="n">
        <v>69005178</v>
      </c>
      <c r="O44" s="52" t="n">
        <v>70016920</v>
      </c>
      <c r="P44" s="52" t="n">
        <v>65048642</v>
      </c>
      <c r="Q44" s="52" t="n">
        <v>73981391</v>
      </c>
      <c r="R44" s="52" t="n">
        <v>64320650</v>
      </c>
      <c r="S44" s="52" t="n">
        <v>62057162</v>
      </c>
      <c r="T44" s="52" t="n">
        <v>64401806</v>
      </c>
      <c r="U44" s="52" t="n">
        <v>66991146</v>
      </c>
      <c r="V44" s="52" t="n">
        <v>63846899</v>
      </c>
      <c r="W44" s="52" t="n">
        <v>64149044</v>
      </c>
      <c r="X44" s="52" t="n">
        <v>56683296</v>
      </c>
      <c r="Y44" s="52" t="n">
        <v>64020683</v>
      </c>
      <c r="Z44" s="52" t="n">
        <v>62472580</v>
      </c>
      <c r="AA44" s="52" t="n">
        <v>65266080</v>
      </c>
      <c r="AB44" s="52" t="n">
        <v>62171924</v>
      </c>
      <c r="AC44" s="52" t="n">
        <v>63535638</v>
      </c>
      <c r="AD44" s="52" t="n">
        <v>80137362</v>
      </c>
      <c r="AE44" s="52" t="n">
        <v>35225316</v>
      </c>
      <c r="AF44" s="52" t="n">
        <v>73803234</v>
      </c>
      <c r="AG44" s="52" t="n">
        <v>63410960</v>
      </c>
      <c r="AH44" s="52" t="n">
        <v>64458970</v>
      </c>
      <c r="AI44" s="52" t="n">
        <v>60790349</v>
      </c>
      <c r="AJ44" s="52" t="n">
        <v>68465558</v>
      </c>
      <c r="AK44" s="52" t="n">
        <v>63816852</v>
      </c>
      <c r="AL44" s="52" t="n">
        <v>66450929</v>
      </c>
      <c r="AM44" s="52" t="n">
        <v>64178806</v>
      </c>
      <c r="AN44" s="52" t="n">
        <v>68740023</v>
      </c>
      <c r="AO44" s="52" t="n">
        <v>74823850</v>
      </c>
      <c r="AP44" s="52" t="n">
        <v>66575872</v>
      </c>
      <c r="AQ44" s="52" t="n">
        <v>66636108</v>
      </c>
      <c r="AR44" s="52" t="n">
        <v>68671575</v>
      </c>
      <c r="AS44" s="52" t="n">
        <v>75923038</v>
      </c>
      <c r="AT44" s="52" t="n">
        <v>77655647</v>
      </c>
      <c r="AU44" s="52" t="n">
        <v>74324469</v>
      </c>
      <c r="AV44" s="52" t="n">
        <v>72529998</v>
      </c>
      <c r="AW44" s="52" t="n">
        <v>70976467</v>
      </c>
      <c r="AX44" s="52" t="n">
        <v>71705643</v>
      </c>
      <c r="AY44" s="52" t="n">
        <v>69643878</v>
      </c>
      <c r="AZ44" s="52" t="n">
        <v>68675554</v>
      </c>
      <c r="BA44" s="52" t="n">
        <v>65304081</v>
      </c>
      <c r="BB44" s="52" t="n">
        <v>74268146</v>
      </c>
      <c r="BC44" s="52" t="n">
        <v>72971166</v>
      </c>
      <c r="BD44" s="52" t="n">
        <v>74022638</v>
      </c>
      <c r="BE44" s="52" t="n">
        <v>59166825</v>
      </c>
      <c r="BF44" s="52" t="n">
        <v>68317666</v>
      </c>
      <c r="BG44" s="52" t="n">
        <v>64007281</v>
      </c>
      <c r="BH44" s="52" t="n">
        <v>70489549</v>
      </c>
      <c r="BI44" s="52" t="n">
        <v>74359997</v>
      </c>
      <c r="BJ44" s="52" t="n">
        <v>58466394</v>
      </c>
      <c r="BK44" s="52" t="n">
        <v>67663624</v>
      </c>
      <c r="BL44" s="52" t="n">
        <v>68738497</v>
      </c>
      <c r="BM44" s="52" t="n">
        <v>66783714</v>
      </c>
    </row>
    <row r="45" customFormat="false" ht="15" hidden="false" customHeight="false" outlineLevel="0" collapsed="false">
      <c r="A45" s="19" t="s">
        <v>181</v>
      </c>
      <c r="B45" s="22" t="s">
        <v>381</v>
      </c>
      <c r="C45" s="19" t="s">
        <v>382</v>
      </c>
      <c r="D45" s="52" t="n">
        <v>0</v>
      </c>
      <c r="E45" s="52" t="n">
        <v>22226956</v>
      </c>
      <c r="F45" s="52" t="n">
        <v>18860131</v>
      </c>
      <c r="G45" s="52" t="n">
        <v>20387613</v>
      </c>
      <c r="H45" s="52" t="n">
        <v>17938448</v>
      </c>
      <c r="I45" s="52" t="n">
        <v>15772264</v>
      </c>
      <c r="J45" s="52" t="n">
        <v>15812066</v>
      </c>
      <c r="K45" s="52" t="n">
        <v>25648345</v>
      </c>
      <c r="L45" s="52" t="n">
        <v>9277226</v>
      </c>
      <c r="M45" s="52" t="n">
        <v>18621986</v>
      </c>
      <c r="N45" s="52" t="n">
        <v>15685063</v>
      </c>
      <c r="O45" s="52" t="n">
        <v>16875336</v>
      </c>
      <c r="P45" s="52" t="n">
        <v>15942752</v>
      </c>
      <c r="Q45" s="52" t="n">
        <v>16379367</v>
      </c>
      <c r="R45" s="52" t="n">
        <v>15994633</v>
      </c>
      <c r="S45" s="52" t="n">
        <v>14524078</v>
      </c>
      <c r="T45" s="52" t="n">
        <v>16431572</v>
      </c>
      <c r="U45" s="52" t="n">
        <v>18027627</v>
      </c>
      <c r="V45" s="52" t="n">
        <v>18454688</v>
      </c>
      <c r="W45" s="52" t="n">
        <v>19103679</v>
      </c>
      <c r="X45" s="52" t="n">
        <v>17676871</v>
      </c>
      <c r="Y45" s="52" t="n">
        <v>21209338</v>
      </c>
      <c r="Z45" s="52" t="n">
        <v>17892667</v>
      </c>
      <c r="AA45" s="52" t="n">
        <v>14888621</v>
      </c>
      <c r="AB45" s="52" t="n">
        <v>19226034</v>
      </c>
      <c r="AC45" s="52" t="n">
        <v>19438542</v>
      </c>
      <c r="AD45" s="52" t="n">
        <v>20734035</v>
      </c>
      <c r="AE45" s="52" t="n">
        <v>15394404</v>
      </c>
      <c r="AF45" s="52" t="n">
        <v>17054616</v>
      </c>
      <c r="AG45" s="52" t="n">
        <v>16230438</v>
      </c>
      <c r="AH45" s="52" t="n">
        <v>17855366</v>
      </c>
      <c r="AI45" s="52" t="n">
        <v>17293224</v>
      </c>
      <c r="AJ45" s="52" t="n">
        <v>13590506</v>
      </c>
      <c r="AK45" s="52" t="n">
        <v>14781773</v>
      </c>
      <c r="AL45" s="52" t="n">
        <v>15625154</v>
      </c>
      <c r="AM45" s="52" t="n">
        <v>17703466</v>
      </c>
      <c r="AN45" s="52" t="n">
        <v>17730485</v>
      </c>
      <c r="AO45" s="52" t="n">
        <v>22504273</v>
      </c>
      <c r="AP45" s="52" t="n">
        <v>17484109</v>
      </c>
      <c r="AQ45" s="52" t="n">
        <v>15097105</v>
      </c>
      <c r="AR45" s="52" t="n">
        <v>16223644</v>
      </c>
      <c r="AS45" s="52" t="n">
        <v>57387165</v>
      </c>
      <c r="AT45" s="52" t="n">
        <v>0</v>
      </c>
      <c r="AU45" s="52" t="n">
        <v>0</v>
      </c>
      <c r="AV45" s="52" t="n">
        <v>0</v>
      </c>
      <c r="AW45" s="52" t="n">
        <v>0</v>
      </c>
      <c r="AX45" s="52" t="n">
        <v>0</v>
      </c>
      <c r="AY45" s="52" t="n">
        <v>0</v>
      </c>
      <c r="AZ45" s="52" t="n">
        <v>0</v>
      </c>
      <c r="BA45" s="52" t="n">
        <v>0</v>
      </c>
      <c r="BB45" s="52" t="n">
        <v>0</v>
      </c>
      <c r="BC45" s="52" t="n">
        <v>0</v>
      </c>
      <c r="BD45" s="52" t="n">
        <v>0</v>
      </c>
      <c r="BE45" s="52" t="n">
        <v>0</v>
      </c>
      <c r="BF45" s="52" t="n">
        <v>0</v>
      </c>
      <c r="BG45" s="52" t="n">
        <v>0</v>
      </c>
      <c r="BH45" s="52" t="n">
        <v>0</v>
      </c>
      <c r="BI45" s="52" t="n">
        <v>0</v>
      </c>
      <c r="BJ45" s="52" t="n">
        <v>0</v>
      </c>
      <c r="BK45" s="52" t="n">
        <v>0</v>
      </c>
      <c r="BL45" s="52" t="n">
        <v>0</v>
      </c>
      <c r="BM45" s="52" t="n">
        <v>0</v>
      </c>
    </row>
    <row r="46" customFormat="false" ht="15" hidden="false" customHeight="false" outlineLevel="0" collapsed="false">
      <c r="A46" s="19" t="s">
        <v>181</v>
      </c>
      <c r="B46" s="22" t="s">
        <v>228</v>
      </c>
      <c r="C46" s="19" t="s">
        <v>229</v>
      </c>
      <c r="D46" s="52" t="n">
        <v>26</v>
      </c>
      <c r="E46" s="52" t="n">
        <v>33468940</v>
      </c>
      <c r="F46" s="52" t="n">
        <v>29801840</v>
      </c>
      <c r="G46" s="52" t="n">
        <v>29119830</v>
      </c>
      <c r="H46" s="52" t="n">
        <v>33069840</v>
      </c>
      <c r="I46" s="52" t="n">
        <v>30189130</v>
      </c>
      <c r="J46" s="52" t="n">
        <v>35828030</v>
      </c>
      <c r="K46" s="52" t="n">
        <v>42537690</v>
      </c>
      <c r="L46" s="52" t="n">
        <v>17523010</v>
      </c>
      <c r="M46" s="52" t="n">
        <v>30696540</v>
      </c>
      <c r="N46" s="52" t="n">
        <v>30234040</v>
      </c>
      <c r="O46" s="52" t="n">
        <v>29599930</v>
      </c>
      <c r="P46" s="52" t="n">
        <v>33923100</v>
      </c>
      <c r="Q46" s="52" t="n">
        <v>33075800</v>
      </c>
      <c r="R46" s="52" t="n">
        <v>33241140</v>
      </c>
      <c r="S46" s="52" t="n">
        <v>31486880</v>
      </c>
      <c r="T46" s="52" t="n">
        <v>35318340</v>
      </c>
      <c r="U46" s="52" t="n">
        <v>39422990</v>
      </c>
      <c r="V46" s="52" t="n">
        <v>39442990</v>
      </c>
      <c r="W46" s="52" t="n">
        <v>37331530</v>
      </c>
      <c r="X46" s="52" t="n">
        <v>37362820</v>
      </c>
      <c r="Y46" s="52" t="n">
        <v>41987070</v>
      </c>
      <c r="Z46" s="52" t="n">
        <v>43976300</v>
      </c>
      <c r="AA46" s="52" t="n">
        <v>41574490</v>
      </c>
      <c r="AB46" s="52" t="n">
        <v>37841790</v>
      </c>
      <c r="AC46" s="52" t="n">
        <v>43055460</v>
      </c>
      <c r="AD46" s="52" t="n">
        <v>44834770</v>
      </c>
      <c r="AE46" s="52" t="n">
        <v>29615350</v>
      </c>
      <c r="AF46" s="52" t="n">
        <v>40161800</v>
      </c>
      <c r="AG46" s="52" t="n">
        <v>43782620</v>
      </c>
      <c r="AH46" s="52" t="n">
        <v>40738848</v>
      </c>
      <c r="AI46" s="52" t="n">
        <v>39471020</v>
      </c>
      <c r="AJ46" s="52" t="n">
        <v>40033180</v>
      </c>
      <c r="AK46" s="52" t="n">
        <v>37853080</v>
      </c>
      <c r="AL46" s="52" t="n">
        <v>37223000</v>
      </c>
      <c r="AM46" s="52" t="n">
        <v>37684990</v>
      </c>
      <c r="AN46" s="52" t="n">
        <v>38104610</v>
      </c>
      <c r="AO46" s="52" t="n">
        <v>40752940</v>
      </c>
      <c r="AP46" s="52" t="n">
        <v>40014680</v>
      </c>
      <c r="AQ46" s="52" t="n">
        <v>35725100</v>
      </c>
      <c r="AR46" s="52" t="n">
        <v>37707260</v>
      </c>
      <c r="AS46" s="52" t="n">
        <v>37210430</v>
      </c>
      <c r="AT46" s="52" t="n">
        <v>36840230</v>
      </c>
      <c r="AU46" s="52" t="n">
        <v>37134455</v>
      </c>
      <c r="AV46" s="52" t="n">
        <v>37249590</v>
      </c>
      <c r="AW46" s="52" t="n">
        <v>35204200</v>
      </c>
      <c r="AX46" s="52" t="n">
        <v>37290900</v>
      </c>
      <c r="AY46" s="52" t="n">
        <v>34659860</v>
      </c>
      <c r="AZ46" s="52" t="n">
        <v>35058740</v>
      </c>
      <c r="BA46" s="52" t="n">
        <v>36361940</v>
      </c>
      <c r="BB46" s="52" t="n">
        <v>34233110</v>
      </c>
      <c r="BC46" s="52" t="n">
        <v>39801320</v>
      </c>
      <c r="BD46" s="52" t="n">
        <v>39514690</v>
      </c>
      <c r="BE46" s="52" t="n">
        <v>31881834</v>
      </c>
      <c r="BF46" s="52" t="n">
        <v>29399380</v>
      </c>
      <c r="BG46" s="52" t="n">
        <v>33998910</v>
      </c>
      <c r="BH46" s="52" t="n">
        <v>32469040</v>
      </c>
      <c r="BI46" s="52" t="n">
        <v>31645670</v>
      </c>
      <c r="BJ46" s="52" t="n">
        <v>27069460</v>
      </c>
      <c r="BK46" s="52" t="n">
        <v>26671960</v>
      </c>
      <c r="BL46" s="52" t="n">
        <v>30624690</v>
      </c>
      <c r="BM46" s="52" t="n">
        <v>33840497</v>
      </c>
    </row>
    <row r="47" customFormat="false" ht="15" hidden="false" customHeight="false" outlineLevel="0" collapsed="false">
      <c r="A47" s="19" t="s">
        <v>181</v>
      </c>
      <c r="B47" s="22" t="s">
        <v>416</v>
      </c>
      <c r="C47" s="19" t="s">
        <v>417</v>
      </c>
      <c r="D47" s="52" t="n">
        <v>31</v>
      </c>
      <c r="E47" s="52" t="n">
        <v>14533932</v>
      </c>
      <c r="F47" s="52" t="n">
        <v>16782542</v>
      </c>
      <c r="G47" s="52" t="n">
        <v>7863279</v>
      </c>
      <c r="H47" s="52" t="n">
        <v>18391299</v>
      </c>
      <c r="I47" s="52" t="n">
        <v>16024375</v>
      </c>
      <c r="J47" s="52" t="n">
        <v>13095817</v>
      </c>
      <c r="K47" s="52" t="n">
        <v>13966744</v>
      </c>
      <c r="L47" s="52" t="n">
        <v>2491628</v>
      </c>
      <c r="M47" s="52" t="n">
        <v>12852518</v>
      </c>
      <c r="N47" s="52" t="n">
        <v>15923962</v>
      </c>
      <c r="O47" s="52" t="n">
        <v>13262612</v>
      </c>
      <c r="P47" s="52" t="n">
        <v>13714085</v>
      </c>
      <c r="Q47" s="52" t="n">
        <v>11022050</v>
      </c>
      <c r="R47" s="52" t="n">
        <v>12855806</v>
      </c>
      <c r="S47" s="52" t="n">
        <v>11929086</v>
      </c>
      <c r="T47" s="52" t="n">
        <v>7176795</v>
      </c>
      <c r="U47" s="52" t="n">
        <v>9664627</v>
      </c>
      <c r="V47" s="52" t="n">
        <v>9331813</v>
      </c>
      <c r="W47" s="52" t="n">
        <v>11809206</v>
      </c>
      <c r="X47" s="52" t="n">
        <v>10388485</v>
      </c>
      <c r="Y47" s="52" t="n">
        <v>6803447</v>
      </c>
      <c r="Z47" s="52" t="n">
        <v>13703105</v>
      </c>
      <c r="AA47" s="52" t="n">
        <v>4927572</v>
      </c>
      <c r="AB47" s="52" t="n">
        <v>8352530</v>
      </c>
      <c r="AC47" s="52" t="n">
        <v>13369586</v>
      </c>
      <c r="AD47" s="52" t="n">
        <v>11208559</v>
      </c>
      <c r="AE47" s="52" t="n">
        <v>3203705</v>
      </c>
      <c r="AF47" s="52" t="n">
        <v>5236691</v>
      </c>
      <c r="AG47" s="52" t="n">
        <v>11206235</v>
      </c>
      <c r="AH47" s="52" t="n">
        <v>14854518</v>
      </c>
      <c r="AI47" s="52" t="n">
        <v>15946865</v>
      </c>
      <c r="AJ47" s="52" t="n">
        <v>13144756</v>
      </c>
      <c r="AK47" s="52" t="n">
        <v>14462755</v>
      </c>
      <c r="AL47" s="52" t="n">
        <v>13395027</v>
      </c>
      <c r="AM47" s="52" t="n">
        <v>11756633</v>
      </c>
      <c r="AN47" s="52" t="n">
        <v>15400064</v>
      </c>
      <c r="AO47" s="52" t="n">
        <v>20109649</v>
      </c>
      <c r="AP47" s="52" t="n">
        <v>14434004</v>
      </c>
      <c r="AQ47" s="52" t="n">
        <v>19686124</v>
      </c>
      <c r="AR47" s="52" t="n">
        <v>19107039</v>
      </c>
      <c r="AS47" s="52" t="n">
        <v>12021430</v>
      </c>
      <c r="AT47" s="52" t="n">
        <v>20120687</v>
      </c>
      <c r="AU47" s="52" t="n">
        <v>22794911</v>
      </c>
      <c r="AV47" s="52" t="n">
        <v>23049074</v>
      </c>
      <c r="AW47" s="52" t="n">
        <v>22959633</v>
      </c>
      <c r="AX47" s="52" t="n">
        <v>19964309</v>
      </c>
      <c r="AY47" s="52" t="n">
        <v>19371707</v>
      </c>
      <c r="AZ47" s="52" t="n">
        <v>19388154</v>
      </c>
      <c r="BA47" s="52" t="n">
        <v>25174259</v>
      </c>
      <c r="BB47" s="52" t="n">
        <v>12592773</v>
      </c>
      <c r="BC47" s="52" t="n">
        <v>15626419</v>
      </c>
      <c r="BD47" s="52" t="n">
        <v>16710637</v>
      </c>
      <c r="BE47" s="52" t="n">
        <v>20565738</v>
      </c>
      <c r="BF47" s="52" t="n">
        <v>34113724</v>
      </c>
      <c r="BG47" s="52" t="n">
        <v>19396587</v>
      </c>
      <c r="BH47" s="52" t="n">
        <v>26633302</v>
      </c>
      <c r="BI47" s="52" t="n">
        <v>30601163</v>
      </c>
      <c r="BJ47" s="52" t="n">
        <v>19917028</v>
      </c>
      <c r="BK47" s="52" t="n">
        <v>-74763554</v>
      </c>
      <c r="BL47" s="52" t="n">
        <v>7462996</v>
      </c>
      <c r="BM47" s="52" t="n">
        <v>12979195</v>
      </c>
    </row>
    <row r="48" customFormat="false" ht="15" hidden="false" customHeight="false" outlineLevel="0" collapsed="false">
      <c r="A48" s="19" t="s">
        <v>181</v>
      </c>
      <c r="B48" s="22" t="s">
        <v>316</v>
      </c>
      <c r="C48" s="19" t="s">
        <v>317</v>
      </c>
      <c r="D48" s="52" t="n">
        <v>12</v>
      </c>
      <c r="E48" s="52" t="n">
        <v>1752200</v>
      </c>
      <c r="F48" s="52" t="n">
        <v>2005730</v>
      </c>
      <c r="G48" s="52" t="n">
        <v>2406556</v>
      </c>
      <c r="H48" s="52" t="n">
        <v>2149100</v>
      </c>
      <c r="I48" s="52" t="n">
        <v>1682097</v>
      </c>
      <c r="J48" s="52" t="n">
        <v>2869726</v>
      </c>
      <c r="K48" s="52" t="n">
        <v>3766278</v>
      </c>
      <c r="L48" s="52" t="n">
        <v>1243948</v>
      </c>
      <c r="M48" s="52" t="n">
        <v>2912954</v>
      </c>
      <c r="N48" s="52" t="n">
        <v>3245670</v>
      </c>
      <c r="O48" s="52" t="n">
        <v>2424342</v>
      </c>
      <c r="P48" s="52" t="n">
        <v>2258056</v>
      </c>
      <c r="Q48" s="52" t="n">
        <v>3190905</v>
      </c>
      <c r="R48" s="52" t="n">
        <v>2736720</v>
      </c>
      <c r="S48" s="52" t="n">
        <v>2328304</v>
      </c>
      <c r="T48" s="52" t="n">
        <v>1857766</v>
      </c>
      <c r="U48" s="52" t="n">
        <v>2699320</v>
      </c>
      <c r="V48" s="52" t="n">
        <v>1442360</v>
      </c>
      <c r="W48" s="52" t="n">
        <v>2325204</v>
      </c>
      <c r="X48" s="52" t="n">
        <v>2108280</v>
      </c>
      <c r="Y48" s="52" t="n">
        <v>2154340</v>
      </c>
      <c r="Z48" s="52" t="n">
        <v>2073266</v>
      </c>
      <c r="AA48" s="52" t="n">
        <v>2514908</v>
      </c>
      <c r="AB48" s="52" t="n">
        <v>2498572</v>
      </c>
      <c r="AC48" s="52" t="n">
        <v>2802716</v>
      </c>
      <c r="AD48" s="52" t="n">
        <v>3665858</v>
      </c>
      <c r="AE48" s="52" t="n">
        <v>1479552</v>
      </c>
      <c r="AF48" s="52" t="n">
        <v>2789844</v>
      </c>
      <c r="AG48" s="52" t="n">
        <v>1590278</v>
      </c>
      <c r="AH48" s="52" t="n">
        <v>2361014</v>
      </c>
      <c r="AI48" s="52" t="n">
        <v>3050997</v>
      </c>
      <c r="AJ48" s="52" t="n">
        <v>2369474</v>
      </c>
      <c r="AK48" s="52" t="n">
        <v>3159934</v>
      </c>
      <c r="AL48" s="52" t="n">
        <v>2716879</v>
      </c>
      <c r="AM48" s="52" t="n">
        <v>2372564</v>
      </c>
      <c r="AN48" s="52" t="n">
        <v>2547369</v>
      </c>
      <c r="AO48" s="52" t="n">
        <v>2926578</v>
      </c>
      <c r="AP48" s="52" t="n">
        <v>1776994</v>
      </c>
      <c r="AQ48" s="52" t="n">
        <v>2906116</v>
      </c>
      <c r="AR48" s="52" t="n">
        <v>3050550</v>
      </c>
      <c r="AS48" s="52" t="n">
        <v>2273584</v>
      </c>
      <c r="AT48" s="52" t="n">
        <v>2734835</v>
      </c>
      <c r="AU48" s="52" t="n">
        <v>2226062</v>
      </c>
      <c r="AV48" s="52" t="n">
        <v>2902069</v>
      </c>
      <c r="AW48" s="52" t="n">
        <v>3187844</v>
      </c>
      <c r="AX48" s="52" t="n">
        <v>2335794</v>
      </c>
      <c r="AY48" s="52" t="n">
        <v>2288130</v>
      </c>
      <c r="AZ48" s="52" t="n">
        <v>3096206</v>
      </c>
      <c r="BA48" s="52" t="n">
        <v>3221702</v>
      </c>
      <c r="BB48" s="52" t="n">
        <v>2276576</v>
      </c>
      <c r="BC48" s="52" t="n">
        <v>2626886</v>
      </c>
      <c r="BD48" s="52" t="n">
        <v>2266962</v>
      </c>
      <c r="BE48" s="52" t="n">
        <v>3480542</v>
      </c>
      <c r="BF48" s="52" t="n">
        <v>3671052</v>
      </c>
      <c r="BG48" s="52" t="n">
        <v>2590028</v>
      </c>
      <c r="BH48" s="52" t="n">
        <v>2354278</v>
      </c>
      <c r="BI48" s="52" t="n">
        <v>2135944</v>
      </c>
      <c r="BJ48" s="52" t="n">
        <v>2125075</v>
      </c>
      <c r="BK48" s="52" t="n">
        <v>2202284</v>
      </c>
      <c r="BL48" s="52" t="n">
        <v>2496406</v>
      </c>
      <c r="BM48" s="52" t="n">
        <v>2314717</v>
      </c>
    </row>
    <row r="49" customFormat="false" ht="15" hidden="false" customHeight="false" outlineLevel="0" collapsed="false">
      <c r="A49" s="19" t="s">
        <v>181</v>
      </c>
      <c r="B49" s="22" t="s">
        <v>258</v>
      </c>
      <c r="C49" s="19" t="s">
        <v>259</v>
      </c>
      <c r="D49" s="52" t="n">
        <v>34</v>
      </c>
      <c r="E49" s="52" t="n">
        <v>17739504</v>
      </c>
      <c r="F49" s="52" t="n">
        <v>15801430</v>
      </c>
      <c r="G49" s="52" t="n">
        <v>15883540</v>
      </c>
      <c r="H49" s="52" t="n">
        <v>17193832</v>
      </c>
      <c r="I49" s="52" t="n">
        <v>15416730</v>
      </c>
      <c r="J49" s="52" t="n">
        <v>14106450</v>
      </c>
      <c r="K49" s="52" t="n">
        <v>15883660</v>
      </c>
      <c r="L49" s="52" t="n">
        <v>5927270</v>
      </c>
      <c r="M49" s="52" t="n">
        <v>15518906</v>
      </c>
      <c r="N49" s="52" t="n">
        <v>10992280</v>
      </c>
      <c r="O49" s="52" t="n">
        <v>12064740</v>
      </c>
      <c r="P49" s="52" t="n">
        <v>15803980</v>
      </c>
      <c r="Q49" s="52" t="n">
        <v>12626209</v>
      </c>
      <c r="R49" s="52" t="n">
        <v>14779210</v>
      </c>
      <c r="S49" s="52" t="n">
        <v>12430170</v>
      </c>
      <c r="T49" s="52" t="n">
        <v>11274690</v>
      </c>
      <c r="U49" s="52" t="n">
        <v>11037520</v>
      </c>
      <c r="V49" s="52" t="n">
        <v>10232470</v>
      </c>
      <c r="W49" s="52" t="n">
        <v>9261890</v>
      </c>
      <c r="X49" s="52" t="n">
        <v>9793555</v>
      </c>
      <c r="Y49" s="52" t="n">
        <v>13752909</v>
      </c>
      <c r="Z49" s="52" t="n">
        <v>14304360</v>
      </c>
      <c r="AA49" s="52" t="n">
        <v>11551690</v>
      </c>
      <c r="AB49" s="52" t="n">
        <v>11643530</v>
      </c>
      <c r="AC49" s="52" t="n">
        <v>9376720</v>
      </c>
      <c r="AD49" s="52" t="n">
        <v>9830840</v>
      </c>
      <c r="AE49" s="52" t="n">
        <v>5007697</v>
      </c>
      <c r="AF49" s="52" t="n">
        <v>12869530</v>
      </c>
      <c r="AG49" s="52" t="n">
        <v>16154880</v>
      </c>
      <c r="AH49" s="52" t="n">
        <v>16298440</v>
      </c>
      <c r="AI49" s="52" t="n">
        <v>15947725</v>
      </c>
      <c r="AJ49" s="52" t="n">
        <v>15739750</v>
      </c>
      <c r="AK49" s="52" t="n">
        <v>11210480</v>
      </c>
      <c r="AL49" s="52" t="n">
        <v>17418544</v>
      </c>
      <c r="AM49" s="52" t="n">
        <v>19344473</v>
      </c>
      <c r="AN49" s="52" t="n">
        <v>14477071</v>
      </c>
      <c r="AO49" s="52" t="n">
        <v>13927524</v>
      </c>
      <c r="AP49" s="52" t="n">
        <v>14953310</v>
      </c>
      <c r="AQ49" s="52" t="n">
        <v>14612586</v>
      </c>
      <c r="AR49" s="52" t="n">
        <v>18786179</v>
      </c>
      <c r="AS49" s="52" t="n">
        <v>11045430</v>
      </c>
      <c r="AT49" s="52" t="n">
        <v>13169570</v>
      </c>
      <c r="AU49" s="52" t="n">
        <v>13431775</v>
      </c>
      <c r="AV49" s="52" t="n">
        <v>11590792</v>
      </c>
      <c r="AW49" s="52" t="n">
        <v>13475900</v>
      </c>
      <c r="AX49" s="52" t="n">
        <v>12210527</v>
      </c>
      <c r="AY49" s="52" t="n">
        <v>13101620</v>
      </c>
      <c r="AZ49" s="52" t="n">
        <v>11555266</v>
      </c>
      <c r="BA49" s="52" t="n">
        <v>10287216</v>
      </c>
      <c r="BB49" s="52" t="n">
        <v>11602790</v>
      </c>
      <c r="BC49" s="52" t="n">
        <v>11309930</v>
      </c>
      <c r="BD49" s="52" t="n">
        <v>11438770</v>
      </c>
      <c r="BE49" s="52" t="n">
        <v>10898354</v>
      </c>
      <c r="BF49" s="52" t="n">
        <v>12375236</v>
      </c>
      <c r="BG49" s="52" t="n">
        <v>13011650</v>
      </c>
      <c r="BH49" s="52" t="n">
        <v>14064324</v>
      </c>
      <c r="BI49" s="52" t="n">
        <v>13382565</v>
      </c>
      <c r="BJ49" s="52" t="n">
        <v>8709280</v>
      </c>
      <c r="BK49" s="52" t="n">
        <v>11768310</v>
      </c>
      <c r="BL49" s="52" t="n">
        <v>11245770</v>
      </c>
      <c r="BM49" s="52" t="n">
        <v>10542570</v>
      </c>
    </row>
    <row r="50" customFormat="false" ht="15" hidden="false" customHeight="false" outlineLevel="0" collapsed="false">
      <c r="A50" s="19" t="s">
        <v>181</v>
      </c>
      <c r="B50" s="22" t="s">
        <v>383</v>
      </c>
      <c r="C50" s="19" t="s">
        <v>384</v>
      </c>
      <c r="D50" s="52" t="n">
        <v>0</v>
      </c>
      <c r="E50" s="52" t="n">
        <v>0</v>
      </c>
      <c r="F50" s="52" t="n">
        <v>584455</v>
      </c>
      <c r="G50" s="52" t="n">
        <v>7240410</v>
      </c>
      <c r="H50" s="52" t="n">
        <v>7007455</v>
      </c>
      <c r="I50" s="52" t="n">
        <v>6392877</v>
      </c>
      <c r="J50" s="52" t="n">
        <v>7943266</v>
      </c>
      <c r="K50" s="52" t="n">
        <v>14533215</v>
      </c>
      <c r="L50" s="52" t="n">
        <v>3492415</v>
      </c>
      <c r="M50" s="52" t="n">
        <v>9248951</v>
      </c>
      <c r="N50" s="52" t="n">
        <v>7499452</v>
      </c>
      <c r="O50" s="52" t="n">
        <v>9196507</v>
      </c>
      <c r="P50" s="52" t="n">
        <v>10076088</v>
      </c>
      <c r="Q50" s="52" t="n">
        <v>8346938</v>
      </c>
      <c r="R50" s="52" t="n">
        <v>8214900</v>
      </c>
      <c r="S50" s="52" t="n">
        <v>6721903</v>
      </c>
      <c r="T50" s="52" t="n">
        <v>8647390</v>
      </c>
      <c r="U50" s="52" t="n">
        <v>9781750</v>
      </c>
      <c r="V50" s="52" t="n">
        <v>9700496</v>
      </c>
      <c r="W50" s="52" t="n">
        <v>7784088</v>
      </c>
      <c r="X50" s="52" t="n">
        <v>7622777</v>
      </c>
      <c r="Y50" s="52" t="n">
        <v>8856002</v>
      </c>
      <c r="Z50" s="52" t="n">
        <v>12593072</v>
      </c>
      <c r="AA50" s="52" t="n">
        <v>8641766</v>
      </c>
      <c r="AB50" s="52" t="n">
        <v>8471258</v>
      </c>
      <c r="AC50" s="52" t="n">
        <v>11062464</v>
      </c>
      <c r="AD50" s="52" t="n">
        <v>11154760</v>
      </c>
      <c r="AE50" s="52" t="n">
        <v>8874507</v>
      </c>
      <c r="AF50" s="52" t="n">
        <v>9290349</v>
      </c>
      <c r="AG50" s="52" t="n">
        <v>10754132</v>
      </c>
      <c r="AH50" s="52" t="n">
        <v>11634161</v>
      </c>
      <c r="AI50" s="52" t="n">
        <v>10812531</v>
      </c>
      <c r="AJ50" s="52" t="n">
        <v>12709888</v>
      </c>
      <c r="AK50" s="52" t="n">
        <v>12040863</v>
      </c>
      <c r="AL50" s="52" t="n">
        <v>11285238</v>
      </c>
      <c r="AM50" s="52" t="n">
        <v>10468945</v>
      </c>
      <c r="AN50" s="52" t="n">
        <v>15469696</v>
      </c>
      <c r="AO50" s="52" t="n">
        <v>15028093</v>
      </c>
      <c r="AP50" s="52" t="n">
        <v>24734789</v>
      </c>
      <c r="AQ50" s="52" t="n">
        <v>17140117</v>
      </c>
      <c r="AR50" s="52" t="n">
        <v>19645365</v>
      </c>
      <c r="AS50" s="52" t="n">
        <v>18547883</v>
      </c>
      <c r="AT50" s="52" t="n">
        <v>18514150</v>
      </c>
      <c r="AU50" s="52" t="n">
        <v>17052383</v>
      </c>
      <c r="AV50" s="52" t="n">
        <v>15560143</v>
      </c>
      <c r="AW50" s="52" t="n">
        <v>14077863</v>
      </c>
      <c r="AX50" s="52" t="n">
        <v>15550703</v>
      </c>
      <c r="AY50" s="52" t="n">
        <v>19822836</v>
      </c>
      <c r="AZ50" s="52" t="n">
        <v>17417343</v>
      </c>
      <c r="BA50" s="52" t="n">
        <v>1836000</v>
      </c>
      <c r="BB50" s="52" t="n">
        <v>0</v>
      </c>
      <c r="BC50" s="52" t="n">
        <v>0</v>
      </c>
      <c r="BD50" s="52" t="n">
        <v>0</v>
      </c>
      <c r="BE50" s="52" t="n">
        <v>0</v>
      </c>
      <c r="BF50" s="52" t="n">
        <v>0</v>
      </c>
      <c r="BG50" s="52" t="n">
        <v>0</v>
      </c>
      <c r="BH50" s="52" t="n">
        <v>0</v>
      </c>
      <c r="BI50" s="52" t="n">
        <v>0</v>
      </c>
      <c r="BJ50" s="52" t="n">
        <v>0</v>
      </c>
      <c r="BK50" s="52" t="n">
        <v>0</v>
      </c>
      <c r="BL50" s="52" t="n">
        <v>0</v>
      </c>
      <c r="BM50" s="52" t="n">
        <v>0</v>
      </c>
    </row>
    <row r="51" customFormat="false" ht="15" hidden="false" customHeight="false" outlineLevel="0" collapsed="false">
      <c r="A51" s="19" t="s">
        <v>181</v>
      </c>
      <c r="B51" s="22" t="s">
        <v>187</v>
      </c>
      <c r="C51" s="19" t="s">
        <v>72</v>
      </c>
      <c r="D51" s="52" t="n">
        <v>32</v>
      </c>
      <c r="E51" s="52" t="n">
        <v>0</v>
      </c>
      <c r="F51" s="52" t="n">
        <v>166010390</v>
      </c>
      <c r="G51" s="52" t="n">
        <v>320298400</v>
      </c>
      <c r="H51" s="52" t="n">
        <v>342751920</v>
      </c>
      <c r="I51" s="52" t="n">
        <v>245577210</v>
      </c>
      <c r="J51" s="52" t="n">
        <v>300732100</v>
      </c>
      <c r="K51" s="52" t="n">
        <v>306128580</v>
      </c>
      <c r="L51" s="52" t="n">
        <v>80201420</v>
      </c>
      <c r="M51" s="52" t="n">
        <v>306720930</v>
      </c>
      <c r="N51" s="52" t="n">
        <v>371410702</v>
      </c>
      <c r="O51" s="52" t="n">
        <v>372450300</v>
      </c>
      <c r="P51" s="52" t="n">
        <v>289738150</v>
      </c>
      <c r="Q51" s="52" t="n">
        <v>235324441</v>
      </c>
      <c r="R51" s="52" t="n">
        <v>324783900</v>
      </c>
      <c r="S51" s="52" t="n">
        <v>387847690</v>
      </c>
      <c r="T51" s="52" t="n">
        <v>204859590</v>
      </c>
      <c r="U51" s="52" t="n">
        <v>345520740</v>
      </c>
      <c r="V51" s="52" t="n">
        <v>431743310</v>
      </c>
      <c r="W51" s="52" t="n">
        <v>367557150</v>
      </c>
      <c r="X51" s="52" t="n">
        <v>303083530</v>
      </c>
      <c r="Y51" s="52" t="n">
        <v>269896180</v>
      </c>
      <c r="Z51" s="52" t="n">
        <v>364475050</v>
      </c>
      <c r="AA51" s="52" t="n">
        <v>448467940</v>
      </c>
      <c r="AB51" s="52" t="n">
        <v>349229780</v>
      </c>
      <c r="AC51" s="52" t="n">
        <v>411053730</v>
      </c>
      <c r="AD51" s="52" t="n">
        <v>302749220</v>
      </c>
      <c r="AE51" s="52" t="n">
        <v>46433870</v>
      </c>
      <c r="AF51" s="52" t="n">
        <v>514468090</v>
      </c>
      <c r="AG51" s="52" t="n">
        <v>189275440</v>
      </c>
      <c r="AH51" s="52" t="n">
        <v>199994990</v>
      </c>
      <c r="AI51" s="52" t="n">
        <v>200299835</v>
      </c>
      <c r="AJ51" s="52" t="n">
        <v>231685410</v>
      </c>
      <c r="AK51" s="52" t="n">
        <v>297311630</v>
      </c>
      <c r="AL51" s="52" t="n">
        <v>405481390</v>
      </c>
      <c r="AM51" s="52" t="n">
        <v>306097390</v>
      </c>
      <c r="AN51" s="52" t="n">
        <v>275503780</v>
      </c>
      <c r="AO51" s="52" t="n">
        <v>362242319</v>
      </c>
      <c r="AP51" s="52" t="n">
        <v>208181640</v>
      </c>
      <c r="AQ51" s="52" t="n">
        <v>422023900</v>
      </c>
      <c r="AR51" s="52" t="n">
        <v>367212270</v>
      </c>
      <c r="AS51" s="52" t="n">
        <v>291273020</v>
      </c>
      <c r="AT51" s="52" t="n">
        <v>371959780</v>
      </c>
      <c r="AU51" s="52" t="n">
        <v>298941840</v>
      </c>
      <c r="AV51" s="52" t="n">
        <v>319554670</v>
      </c>
      <c r="AW51" s="52" t="n">
        <v>329361950</v>
      </c>
      <c r="AX51" s="52" t="n">
        <v>261107840</v>
      </c>
      <c r="AY51" s="52" t="n">
        <v>368430100</v>
      </c>
      <c r="AZ51" s="52" t="n">
        <v>284513770</v>
      </c>
      <c r="BA51" s="52" t="n">
        <v>367955024</v>
      </c>
      <c r="BB51" s="52" t="n">
        <v>316958680</v>
      </c>
      <c r="BC51" s="52" t="n">
        <v>207262090</v>
      </c>
      <c r="BD51" s="52" t="n">
        <v>338060280</v>
      </c>
      <c r="BE51" s="52" t="n">
        <v>381438880</v>
      </c>
      <c r="BF51" s="52" t="n">
        <v>356690270</v>
      </c>
      <c r="BG51" s="52" t="n">
        <v>373968290</v>
      </c>
      <c r="BH51" s="52" t="n">
        <v>305087120</v>
      </c>
      <c r="BI51" s="52" t="n">
        <v>250588690</v>
      </c>
      <c r="BJ51" s="52" t="n">
        <v>44998740</v>
      </c>
      <c r="BK51" s="52" t="n">
        <v>243401240</v>
      </c>
      <c r="BL51" s="52" t="n">
        <v>303188590</v>
      </c>
      <c r="BM51" s="52" t="n">
        <v>317159870</v>
      </c>
    </row>
    <row r="52" customFormat="false" ht="15" hidden="false" customHeight="false" outlineLevel="0" collapsed="false">
      <c r="A52" s="19" t="s">
        <v>181</v>
      </c>
      <c r="B52" s="22" t="s">
        <v>336</v>
      </c>
      <c r="C52" s="19" t="s">
        <v>337</v>
      </c>
      <c r="D52" s="52" t="n">
        <v>4</v>
      </c>
      <c r="E52" s="52" t="n">
        <v>0</v>
      </c>
      <c r="F52" s="52" t="n">
        <v>0</v>
      </c>
      <c r="G52" s="52" t="n">
        <v>0</v>
      </c>
      <c r="H52" s="52" t="n">
        <v>0</v>
      </c>
      <c r="I52" s="52" t="n">
        <v>2678222</v>
      </c>
      <c r="J52" s="52" t="n">
        <v>3596070</v>
      </c>
      <c r="K52" s="52" t="n">
        <v>4233308</v>
      </c>
      <c r="L52" s="52" t="n">
        <v>1741280</v>
      </c>
      <c r="M52" s="52" t="n">
        <v>4510506</v>
      </c>
      <c r="N52" s="52" t="n">
        <v>3492212</v>
      </c>
      <c r="O52" s="52" t="n">
        <v>3897436</v>
      </c>
      <c r="P52" s="52" t="n">
        <v>3016542</v>
      </c>
      <c r="Q52" s="52" t="n">
        <v>4292024</v>
      </c>
      <c r="R52" s="52" t="n">
        <v>5096870</v>
      </c>
      <c r="S52" s="52" t="n">
        <v>2375444</v>
      </c>
      <c r="T52" s="52" t="n">
        <v>3821404</v>
      </c>
      <c r="U52" s="52" t="n">
        <v>4300148</v>
      </c>
      <c r="V52" s="52" t="n">
        <v>3102364</v>
      </c>
      <c r="W52" s="52" t="n">
        <v>2874002</v>
      </c>
      <c r="X52" s="52" t="n">
        <v>2231034</v>
      </c>
      <c r="Y52" s="52" t="n">
        <v>2724834</v>
      </c>
      <c r="Z52" s="52" t="n">
        <v>2660582</v>
      </c>
      <c r="AA52" s="52" t="n">
        <v>2399192</v>
      </c>
      <c r="AB52" s="52" t="n">
        <v>2464464</v>
      </c>
      <c r="AC52" s="52" t="n">
        <v>2662722</v>
      </c>
      <c r="AD52" s="52" t="n">
        <v>2669794</v>
      </c>
      <c r="AE52" s="52" t="n">
        <v>2631626</v>
      </c>
      <c r="AF52" s="52" t="n">
        <v>2951832</v>
      </c>
      <c r="AG52" s="52" t="n">
        <v>1763892</v>
      </c>
      <c r="AH52" s="52" t="n">
        <v>2410234</v>
      </c>
      <c r="AI52" s="52" t="n">
        <v>2715124</v>
      </c>
      <c r="AJ52" s="52" t="n">
        <v>1919312</v>
      </c>
      <c r="AK52" s="52" t="n">
        <v>2679304</v>
      </c>
      <c r="AL52" s="52" t="n">
        <v>2177312</v>
      </c>
      <c r="AM52" s="52" t="n">
        <v>2148320</v>
      </c>
      <c r="AN52" s="52" t="n">
        <v>1936514</v>
      </c>
      <c r="AO52" s="52" t="n">
        <v>1702392</v>
      </c>
      <c r="AP52" s="52" t="n">
        <v>2876314</v>
      </c>
      <c r="AQ52" s="52" t="n">
        <v>1503820</v>
      </c>
      <c r="AR52" s="52" t="n">
        <v>1880916</v>
      </c>
      <c r="AS52" s="52" t="n">
        <v>2075170</v>
      </c>
      <c r="AT52" s="52" t="n">
        <v>1425744</v>
      </c>
      <c r="AU52" s="52" t="n">
        <v>1559322</v>
      </c>
      <c r="AV52" s="52" t="n">
        <v>2724436</v>
      </c>
      <c r="AW52" s="52" t="n">
        <v>1169020</v>
      </c>
      <c r="AX52" s="52" t="n">
        <v>925460</v>
      </c>
      <c r="AY52" s="52" t="n">
        <v>1330852</v>
      </c>
      <c r="AZ52" s="52" t="n">
        <v>1546820</v>
      </c>
      <c r="BA52" s="52" t="n">
        <v>1071162</v>
      </c>
      <c r="BB52" s="52" t="n">
        <v>403600</v>
      </c>
      <c r="BC52" s="52" t="n">
        <v>1868452</v>
      </c>
      <c r="BD52" s="52" t="n">
        <v>455750</v>
      </c>
      <c r="BE52" s="52" t="n">
        <v>447922</v>
      </c>
      <c r="BF52" s="52" t="n">
        <v>1164144</v>
      </c>
      <c r="BG52" s="52" t="n">
        <v>848210</v>
      </c>
      <c r="BH52" s="52" t="n">
        <v>359340</v>
      </c>
      <c r="BI52" s="52" t="n">
        <v>906986</v>
      </c>
      <c r="BJ52" s="52" t="n">
        <v>629020</v>
      </c>
      <c r="BK52" s="52" t="n">
        <v>745843</v>
      </c>
      <c r="BL52" s="52" t="n">
        <v>397764</v>
      </c>
      <c r="BM52" s="52" t="n">
        <v>723772</v>
      </c>
    </row>
    <row r="53" customFormat="false" ht="15" hidden="false" customHeight="false" outlineLevel="0" collapsed="false">
      <c r="A53" s="19" t="s">
        <v>181</v>
      </c>
      <c r="B53" s="22" t="s">
        <v>385</v>
      </c>
      <c r="C53" s="19" t="s">
        <v>386</v>
      </c>
      <c r="D53" s="52" t="n">
        <v>0</v>
      </c>
      <c r="E53" s="52" t="n">
        <v>0</v>
      </c>
      <c r="F53" s="52" t="n">
        <v>0</v>
      </c>
      <c r="G53" s="52" t="n">
        <v>0</v>
      </c>
      <c r="H53" s="52" t="n">
        <v>0</v>
      </c>
      <c r="I53" s="52" t="n">
        <v>0</v>
      </c>
      <c r="J53" s="52" t="n">
        <v>0</v>
      </c>
      <c r="K53" s="52" t="n">
        <v>140000</v>
      </c>
      <c r="L53" s="52" t="n">
        <v>741640</v>
      </c>
      <c r="M53" s="52" t="n">
        <v>140000</v>
      </c>
      <c r="N53" s="52" t="n">
        <v>487890</v>
      </c>
      <c r="O53" s="52" t="n">
        <v>337600</v>
      </c>
      <c r="P53" s="52" t="n">
        <v>202980</v>
      </c>
      <c r="Q53" s="52" t="n">
        <v>197600</v>
      </c>
      <c r="R53" s="52" t="n">
        <v>127600</v>
      </c>
      <c r="S53" s="52" t="n">
        <v>168800</v>
      </c>
      <c r="T53" s="52" t="n">
        <v>260000</v>
      </c>
      <c r="U53" s="52" t="n">
        <v>173780</v>
      </c>
      <c r="V53" s="52" t="n">
        <v>576400</v>
      </c>
      <c r="W53" s="52" t="n">
        <v>518800</v>
      </c>
      <c r="X53" s="52" t="n">
        <v>267600</v>
      </c>
      <c r="Y53" s="52" t="n">
        <v>470000</v>
      </c>
      <c r="Z53" s="52" t="n">
        <v>378800</v>
      </c>
      <c r="AA53" s="52" t="n">
        <v>547600</v>
      </c>
      <c r="AB53" s="52" t="n">
        <v>647610</v>
      </c>
      <c r="AC53" s="52" t="n">
        <v>476050</v>
      </c>
      <c r="AD53" s="52" t="n">
        <v>1527570</v>
      </c>
      <c r="AE53" s="52" t="n">
        <v>377250</v>
      </c>
      <c r="AF53" s="52" t="n">
        <v>761030</v>
      </c>
      <c r="AG53" s="52" t="n">
        <v>588360</v>
      </c>
      <c r="AH53" s="52" t="n">
        <v>321870</v>
      </c>
      <c r="AI53" s="52" t="n">
        <v>854720</v>
      </c>
      <c r="AJ53" s="52" t="n">
        <v>415840</v>
      </c>
      <c r="AK53" s="52" t="n">
        <v>109210</v>
      </c>
      <c r="AL53" s="52" t="n">
        <v>98800</v>
      </c>
      <c r="AM53" s="52" t="n">
        <v>0</v>
      </c>
      <c r="AN53" s="52" t="n">
        <v>98800</v>
      </c>
      <c r="AO53" s="52" t="n">
        <v>0</v>
      </c>
      <c r="AP53" s="52" t="n">
        <v>0</v>
      </c>
      <c r="AQ53" s="52" t="n">
        <v>0</v>
      </c>
      <c r="AR53" s="52" t="n">
        <v>0</v>
      </c>
      <c r="AS53" s="52" t="n">
        <v>0</v>
      </c>
      <c r="AT53" s="52" t="n">
        <v>0</v>
      </c>
      <c r="AU53" s="52" t="n">
        <v>0</v>
      </c>
      <c r="AV53" s="52" t="n">
        <v>0</v>
      </c>
      <c r="AW53" s="52" t="n">
        <v>1594800</v>
      </c>
      <c r="AX53" s="52" t="n">
        <v>0</v>
      </c>
      <c r="AY53" s="52" t="n">
        <v>0</v>
      </c>
      <c r="AZ53" s="52" t="n">
        <v>0</v>
      </c>
      <c r="BA53" s="52" t="n">
        <v>0</v>
      </c>
      <c r="BB53" s="52" t="n">
        <v>0</v>
      </c>
      <c r="BC53" s="52" t="n">
        <v>0</v>
      </c>
      <c r="BD53" s="52" t="n">
        <v>0</v>
      </c>
      <c r="BE53" s="52" t="n">
        <v>0</v>
      </c>
      <c r="BF53" s="52" t="n">
        <v>0</v>
      </c>
      <c r="BG53" s="52" t="n">
        <v>0</v>
      </c>
      <c r="BH53" s="52" t="n">
        <v>0</v>
      </c>
      <c r="BI53" s="52" t="n">
        <v>0</v>
      </c>
      <c r="BJ53" s="52" t="n">
        <v>0</v>
      </c>
      <c r="BK53" s="52" t="n">
        <v>0</v>
      </c>
      <c r="BL53" s="52" t="n">
        <v>0</v>
      </c>
      <c r="BM53" s="52" t="n">
        <v>0</v>
      </c>
    </row>
    <row r="54" customFormat="false" ht="15" hidden="false" customHeight="false" outlineLevel="0" collapsed="false">
      <c r="A54" s="19" t="s">
        <v>181</v>
      </c>
      <c r="B54" s="22" t="s">
        <v>198</v>
      </c>
      <c r="C54" s="19" t="s">
        <v>199</v>
      </c>
      <c r="D54" s="52" t="n">
        <v>98</v>
      </c>
      <c r="E54" s="52" t="n">
        <v>0</v>
      </c>
      <c r="F54" s="52" t="n">
        <v>0</v>
      </c>
      <c r="G54" s="52" t="n">
        <v>0</v>
      </c>
      <c r="H54" s="52" t="n">
        <v>0</v>
      </c>
      <c r="I54" s="52" t="n">
        <v>0</v>
      </c>
      <c r="J54" s="52" t="n">
        <v>0</v>
      </c>
      <c r="K54" s="52" t="n">
        <v>0</v>
      </c>
      <c r="L54" s="52" t="n">
        <v>0</v>
      </c>
      <c r="M54" s="52" t="n">
        <v>0</v>
      </c>
      <c r="N54" s="52" t="n">
        <v>107434715</v>
      </c>
      <c r="O54" s="52" t="n">
        <v>152490197</v>
      </c>
      <c r="P54" s="52" t="n">
        <v>145057326</v>
      </c>
      <c r="Q54" s="52" t="n">
        <v>159686382</v>
      </c>
      <c r="R54" s="52" t="n">
        <v>154052944</v>
      </c>
      <c r="S54" s="52" t="n">
        <v>144211045</v>
      </c>
      <c r="T54" s="52" t="n">
        <v>155409943</v>
      </c>
      <c r="U54" s="52" t="n">
        <v>151697085</v>
      </c>
      <c r="V54" s="52" t="n">
        <v>149137239</v>
      </c>
      <c r="W54" s="52" t="n">
        <v>139908415</v>
      </c>
      <c r="X54" s="52" t="n">
        <v>141867141</v>
      </c>
      <c r="Y54" s="52" t="n">
        <v>156248879</v>
      </c>
      <c r="Z54" s="52" t="n">
        <v>149536613</v>
      </c>
      <c r="AA54" s="52" t="n">
        <v>156029313</v>
      </c>
      <c r="AB54" s="52" t="n">
        <v>156255116</v>
      </c>
      <c r="AC54" s="52" t="n">
        <v>155077743</v>
      </c>
      <c r="AD54" s="52" t="n">
        <v>169175350</v>
      </c>
      <c r="AE54" s="52" t="n">
        <v>88185108</v>
      </c>
      <c r="AF54" s="52" t="n">
        <v>149364614</v>
      </c>
      <c r="AG54" s="52" t="n">
        <v>134726773</v>
      </c>
      <c r="AH54" s="52" t="n">
        <v>135728724</v>
      </c>
      <c r="AI54" s="52" t="n">
        <v>140174045</v>
      </c>
      <c r="AJ54" s="52" t="n">
        <v>134670031</v>
      </c>
      <c r="AK54" s="52" t="n">
        <v>132028222</v>
      </c>
      <c r="AL54" s="52" t="n">
        <v>143162964</v>
      </c>
      <c r="AM54" s="52" t="n">
        <v>132261029</v>
      </c>
      <c r="AN54" s="52" t="n">
        <v>146937730</v>
      </c>
      <c r="AO54" s="52" t="n">
        <v>132118893</v>
      </c>
      <c r="AP54" s="52" t="n">
        <v>129862057</v>
      </c>
      <c r="AQ54" s="52" t="n">
        <v>140769089</v>
      </c>
      <c r="AR54" s="52" t="n">
        <v>135747009</v>
      </c>
      <c r="AS54" s="52" t="n">
        <v>126675594</v>
      </c>
      <c r="AT54" s="52" t="n">
        <v>130353398</v>
      </c>
      <c r="AU54" s="52" t="n">
        <v>131508034</v>
      </c>
      <c r="AV54" s="52" t="n">
        <v>118086694</v>
      </c>
      <c r="AW54" s="52" t="n">
        <v>127534191</v>
      </c>
      <c r="AX54" s="52" t="n">
        <v>125711139</v>
      </c>
      <c r="AY54" s="52" t="n">
        <v>127382363</v>
      </c>
      <c r="AZ54" s="52" t="n">
        <v>114422829</v>
      </c>
      <c r="BA54" s="52" t="n">
        <v>127150895</v>
      </c>
      <c r="BB54" s="52" t="n">
        <v>110242571</v>
      </c>
      <c r="BC54" s="52" t="n">
        <v>115626143</v>
      </c>
      <c r="BD54" s="52" t="n">
        <v>127151356</v>
      </c>
      <c r="BE54" s="52" t="n">
        <v>132730175</v>
      </c>
      <c r="BF54" s="52" t="n">
        <v>121440584</v>
      </c>
      <c r="BG54" s="52" t="n">
        <v>129073343</v>
      </c>
      <c r="BH54" s="52" t="n">
        <v>131545131</v>
      </c>
      <c r="BI54" s="52" t="n">
        <v>128956587</v>
      </c>
      <c r="BJ54" s="52" t="n">
        <v>107798830</v>
      </c>
      <c r="BK54" s="52" t="n">
        <v>125006207</v>
      </c>
      <c r="BL54" s="52" t="n">
        <v>127981721</v>
      </c>
      <c r="BM54" s="52" t="n">
        <v>130932050</v>
      </c>
    </row>
    <row r="55" customFormat="false" ht="15" hidden="false" customHeight="false" outlineLevel="0" collapsed="false">
      <c r="A55" s="19" t="s">
        <v>181</v>
      </c>
      <c r="B55" s="22" t="s">
        <v>328</v>
      </c>
      <c r="C55" s="19" t="s">
        <v>329</v>
      </c>
      <c r="D55" s="52" t="n">
        <v>7</v>
      </c>
      <c r="E55" s="52" t="n">
        <v>0</v>
      </c>
      <c r="F55" s="52" t="n">
        <v>0</v>
      </c>
      <c r="G55" s="52" t="n">
        <v>0</v>
      </c>
      <c r="H55" s="52" t="n">
        <v>0</v>
      </c>
      <c r="I55" s="52" t="n">
        <v>0</v>
      </c>
      <c r="J55" s="52" t="n">
        <v>0</v>
      </c>
      <c r="K55" s="52" t="n">
        <v>0</v>
      </c>
      <c r="L55" s="52" t="n">
        <v>0</v>
      </c>
      <c r="M55" s="52" t="n">
        <v>0</v>
      </c>
      <c r="N55" s="52" t="n">
        <v>295502</v>
      </c>
      <c r="O55" s="52" t="n">
        <v>2364513</v>
      </c>
      <c r="P55" s="52" t="n">
        <v>1286161</v>
      </c>
      <c r="Q55" s="52" t="n">
        <v>3090984</v>
      </c>
      <c r="R55" s="52" t="n">
        <v>2308751</v>
      </c>
      <c r="S55" s="52" t="n">
        <v>2102259</v>
      </c>
      <c r="T55" s="52" t="n">
        <v>2973789</v>
      </c>
      <c r="U55" s="52" t="n">
        <v>2735908</v>
      </c>
      <c r="V55" s="52" t="n">
        <v>2604900</v>
      </c>
      <c r="W55" s="52" t="n">
        <v>2753490</v>
      </c>
      <c r="X55" s="52" t="n">
        <v>4125701</v>
      </c>
      <c r="Y55" s="52" t="n">
        <v>2983996</v>
      </c>
      <c r="Z55" s="52" t="n">
        <v>3849940</v>
      </c>
      <c r="AA55" s="52" t="n">
        <v>2729283</v>
      </c>
      <c r="AB55" s="52" t="n">
        <v>5741888</v>
      </c>
      <c r="AC55" s="52" t="n">
        <v>4099181</v>
      </c>
      <c r="AD55" s="52" t="n">
        <v>4970545</v>
      </c>
      <c r="AE55" s="52" t="n">
        <v>1508768</v>
      </c>
      <c r="AF55" s="52" t="n">
        <v>2412601</v>
      </c>
      <c r="AG55" s="52" t="n">
        <v>4394563</v>
      </c>
      <c r="AH55" s="52" t="n">
        <v>4498488</v>
      </c>
      <c r="AI55" s="52" t="n">
        <v>1968787</v>
      </c>
      <c r="AJ55" s="52" t="n">
        <v>2371985</v>
      </c>
      <c r="AK55" s="52" t="n">
        <v>3978590</v>
      </c>
      <c r="AL55" s="52" t="n">
        <v>2908394</v>
      </c>
      <c r="AM55" s="52" t="n">
        <v>4401190</v>
      </c>
      <c r="AN55" s="52" t="n">
        <v>2476835</v>
      </c>
      <c r="AO55" s="52" t="n">
        <v>3091119</v>
      </c>
      <c r="AP55" s="52" t="n">
        <v>3502761</v>
      </c>
      <c r="AQ55" s="52" t="n">
        <v>4075654</v>
      </c>
      <c r="AR55" s="52" t="n">
        <v>2501800</v>
      </c>
      <c r="AS55" s="52" t="n">
        <v>3072895</v>
      </c>
      <c r="AT55" s="52" t="n">
        <v>2376347</v>
      </c>
      <c r="AU55" s="52" t="n">
        <v>4877549</v>
      </c>
      <c r="AV55" s="52" t="n">
        <v>2564671</v>
      </c>
      <c r="AW55" s="52" t="n">
        <v>2011485</v>
      </c>
      <c r="AX55" s="52" t="n">
        <v>2840848</v>
      </c>
      <c r="AY55" s="52" t="n">
        <v>1577711</v>
      </c>
      <c r="AZ55" s="52" t="n">
        <v>2813985</v>
      </c>
      <c r="BA55" s="52" t="n">
        <v>1913145</v>
      </c>
      <c r="BB55" s="52" t="n">
        <v>1122197</v>
      </c>
      <c r="BC55" s="52" t="n">
        <v>1230894</v>
      </c>
      <c r="BD55" s="52" t="n">
        <v>2726315</v>
      </c>
      <c r="BE55" s="52" t="n">
        <v>970529</v>
      </c>
      <c r="BF55" s="52" t="n">
        <v>1614122</v>
      </c>
      <c r="BG55" s="52" t="n">
        <v>2120649</v>
      </c>
      <c r="BH55" s="52" t="n">
        <v>2810775</v>
      </c>
      <c r="BI55" s="52" t="n">
        <v>1271119</v>
      </c>
      <c r="BJ55" s="52" t="n">
        <v>1123630</v>
      </c>
      <c r="BK55" s="52" t="n">
        <v>1611354</v>
      </c>
      <c r="BL55" s="52" t="n">
        <v>1686017</v>
      </c>
      <c r="BM55" s="52" t="n">
        <v>1920727</v>
      </c>
    </row>
    <row r="56" customFormat="false" ht="15" hidden="false" customHeight="false" outlineLevel="0" collapsed="false">
      <c r="A56" s="19" t="s">
        <v>181</v>
      </c>
      <c r="B56" s="22" t="s">
        <v>196</v>
      </c>
      <c r="C56" s="19" t="s">
        <v>197</v>
      </c>
      <c r="D56" s="52" t="n">
        <v>121</v>
      </c>
      <c r="E56" s="52" t="n">
        <v>0</v>
      </c>
      <c r="F56" s="52" t="n">
        <v>0</v>
      </c>
      <c r="G56" s="52" t="n">
        <v>0</v>
      </c>
      <c r="H56" s="52" t="n">
        <v>0</v>
      </c>
      <c r="I56" s="52" t="n">
        <v>0</v>
      </c>
      <c r="J56" s="52" t="n">
        <v>0</v>
      </c>
      <c r="K56" s="52" t="n">
        <v>0</v>
      </c>
      <c r="L56" s="52" t="n">
        <v>0</v>
      </c>
      <c r="M56" s="52" t="n">
        <v>0</v>
      </c>
      <c r="N56" s="52" t="n">
        <v>0</v>
      </c>
      <c r="O56" s="52" t="n">
        <v>0</v>
      </c>
      <c r="P56" s="52" t="n">
        <v>97518142</v>
      </c>
      <c r="Q56" s="52" t="n">
        <v>208625835</v>
      </c>
      <c r="R56" s="52" t="n">
        <v>198369416</v>
      </c>
      <c r="S56" s="52" t="n">
        <v>207977895</v>
      </c>
      <c r="T56" s="52" t="n">
        <v>204138617</v>
      </c>
      <c r="U56" s="52" t="n">
        <v>216905485</v>
      </c>
      <c r="V56" s="52" t="n">
        <v>217065248</v>
      </c>
      <c r="W56" s="52" t="n">
        <v>231836578</v>
      </c>
      <c r="X56" s="52" t="n">
        <v>181650649</v>
      </c>
      <c r="Y56" s="52" t="n">
        <v>182626348</v>
      </c>
      <c r="Z56" s="52" t="n">
        <v>186899770</v>
      </c>
      <c r="AA56" s="52" t="n">
        <v>170868008</v>
      </c>
      <c r="AB56" s="52" t="n">
        <v>180441105</v>
      </c>
      <c r="AC56" s="52" t="n">
        <v>193906873</v>
      </c>
      <c r="AD56" s="52" t="n">
        <v>259878087</v>
      </c>
      <c r="AE56" s="52" t="n">
        <v>101917436</v>
      </c>
      <c r="AF56" s="52" t="n">
        <v>189581233</v>
      </c>
      <c r="AG56" s="52" t="n">
        <v>183692835</v>
      </c>
      <c r="AH56" s="52" t="n">
        <v>187260441</v>
      </c>
      <c r="AI56" s="52" t="n">
        <v>188627041</v>
      </c>
      <c r="AJ56" s="52" t="n">
        <v>180724936</v>
      </c>
      <c r="AK56" s="52" t="n">
        <v>192375907</v>
      </c>
      <c r="AL56" s="52" t="n">
        <v>197169385</v>
      </c>
      <c r="AM56" s="52" t="n">
        <v>199652382</v>
      </c>
      <c r="AN56" s="52" t="n">
        <v>183200740</v>
      </c>
      <c r="AO56" s="52" t="n">
        <v>203645029</v>
      </c>
      <c r="AP56" s="52" t="n">
        <v>209048706</v>
      </c>
      <c r="AQ56" s="52" t="n">
        <v>186570292</v>
      </c>
      <c r="AR56" s="52" t="n">
        <v>187828242</v>
      </c>
      <c r="AS56" s="52" t="n">
        <v>196444628</v>
      </c>
      <c r="AT56" s="52" t="n">
        <v>188141409</v>
      </c>
      <c r="AU56" s="52" t="n">
        <v>183260447</v>
      </c>
      <c r="AV56" s="52" t="n">
        <v>177268167</v>
      </c>
      <c r="AW56" s="52" t="n">
        <v>169798171</v>
      </c>
      <c r="AX56" s="52" t="n">
        <v>173500860</v>
      </c>
      <c r="AY56" s="52" t="n">
        <v>176251710</v>
      </c>
      <c r="AZ56" s="52" t="n">
        <v>206477633</v>
      </c>
      <c r="BA56" s="52" t="n">
        <v>185814394</v>
      </c>
      <c r="BB56" s="52" t="n">
        <v>174940873</v>
      </c>
      <c r="BC56" s="52" t="n">
        <v>192019641</v>
      </c>
      <c r="BD56" s="52" t="n">
        <v>206848508</v>
      </c>
      <c r="BE56" s="52" t="n">
        <v>171339644</v>
      </c>
      <c r="BF56" s="52" t="n">
        <v>150941921</v>
      </c>
      <c r="BG56" s="52" t="n">
        <v>149468400</v>
      </c>
      <c r="BH56" s="52" t="n">
        <v>154407899</v>
      </c>
      <c r="BI56" s="52" t="n">
        <v>159475208</v>
      </c>
      <c r="BJ56" s="52" t="n">
        <v>151274587</v>
      </c>
      <c r="BK56" s="52" t="n">
        <v>122353326</v>
      </c>
      <c r="BL56" s="52" t="n">
        <v>136483220</v>
      </c>
      <c r="BM56" s="52" t="n">
        <v>125441955</v>
      </c>
    </row>
    <row r="57" customFormat="false" ht="15" hidden="false" customHeight="false" outlineLevel="0" collapsed="false">
      <c r="A57" s="19" t="s">
        <v>181</v>
      </c>
      <c r="B57" s="22" t="s">
        <v>264</v>
      </c>
      <c r="C57" s="19" t="s">
        <v>265</v>
      </c>
      <c r="D57" s="52" t="n">
        <v>3</v>
      </c>
      <c r="E57" s="52" t="n">
        <v>0</v>
      </c>
      <c r="F57" s="52" t="n">
        <v>0</v>
      </c>
      <c r="G57" s="52" t="n">
        <v>0</v>
      </c>
      <c r="H57" s="52" t="n">
        <v>0</v>
      </c>
      <c r="I57" s="52" t="n">
        <v>0</v>
      </c>
      <c r="J57" s="52" t="n">
        <v>0</v>
      </c>
      <c r="K57" s="52" t="n">
        <v>0</v>
      </c>
      <c r="L57" s="52" t="n">
        <v>0</v>
      </c>
      <c r="M57" s="52" t="n">
        <v>0</v>
      </c>
      <c r="N57" s="52" t="n">
        <v>0</v>
      </c>
      <c r="O57" s="52" t="n">
        <v>0</v>
      </c>
      <c r="P57" s="52" t="n">
        <v>0</v>
      </c>
      <c r="Q57" s="52" t="n">
        <v>0</v>
      </c>
      <c r="R57" s="52" t="n">
        <v>3677290</v>
      </c>
      <c r="S57" s="52" t="n">
        <v>4716600</v>
      </c>
      <c r="T57" s="52" t="n">
        <v>9315900</v>
      </c>
      <c r="U57" s="52" t="n">
        <v>9928500</v>
      </c>
      <c r="V57" s="52" t="n">
        <v>6474100</v>
      </c>
      <c r="W57" s="52" t="n">
        <v>9287720</v>
      </c>
      <c r="X57" s="52" t="n">
        <v>7642600</v>
      </c>
      <c r="Y57" s="52" t="n">
        <v>5664550</v>
      </c>
      <c r="Z57" s="52" t="n">
        <v>8366770</v>
      </c>
      <c r="AA57" s="52" t="n">
        <v>9937000</v>
      </c>
      <c r="AB57" s="52" t="n">
        <v>8741850</v>
      </c>
      <c r="AC57" s="52" t="n">
        <v>10215900</v>
      </c>
      <c r="AD57" s="52" t="n">
        <v>10421070</v>
      </c>
      <c r="AE57" s="52" t="n">
        <v>8038650</v>
      </c>
      <c r="AF57" s="52" t="n">
        <v>8168200</v>
      </c>
      <c r="AG57" s="52" t="n">
        <v>11315480</v>
      </c>
      <c r="AH57" s="52" t="n">
        <v>8502350</v>
      </c>
      <c r="AI57" s="52" t="n">
        <v>10221050</v>
      </c>
      <c r="AJ57" s="52" t="n">
        <v>11129100</v>
      </c>
      <c r="AK57" s="52" t="n">
        <v>9528900</v>
      </c>
      <c r="AL57" s="52" t="n">
        <v>8016250</v>
      </c>
      <c r="AM57" s="52" t="n">
        <v>10690450</v>
      </c>
      <c r="AN57" s="52" t="n">
        <v>8067500</v>
      </c>
      <c r="AO57" s="52" t="n">
        <v>10345910</v>
      </c>
      <c r="AP57" s="52" t="n">
        <v>8164200</v>
      </c>
      <c r="AQ57" s="52" t="n">
        <v>11168800</v>
      </c>
      <c r="AR57" s="52" t="n">
        <v>15627550</v>
      </c>
      <c r="AS57" s="52" t="n">
        <v>13251300</v>
      </c>
      <c r="AT57" s="52" t="n">
        <v>9547910</v>
      </c>
      <c r="AU57" s="52" t="n">
        <v>15329400</v>
      </c>
      <c r="AV57" s="52" t="n">
        <v>12527300</v>
      </c>
      <c r="AW57" s="52" t="n">
        <v>11328600</v>
      </c>
      <c r="AX57" s="52" t="n">
        <v>9983850</v>
      </c>
      <c r="AY57" s="52" t="n">
        <v>10897350</v>
      </c>
      <c r="AZ57" s="52" t="n">
        <v>11282700</v>
      </c>
      <c r="BA57" s="52" t="n">
        <v>12532200</v>
      </c>
      <c r="BB57" s="52" t="n">
        <v>10473000</v>
      </c>
      <c r="BC57" s="52" t="n">
        <v>13554310</v>
      </c>
      <c r="BD57" s="52" t="n">
        <v>9318500</v>
      </c>
      <c r="BE57" s="52" t="n">
        <v>11524500</v>
      </c>
      <c r="BF57" s="52" t="n">
        <v>9017960</v>
      </c>
      <c r="BG57" s="52" t="n">
        <v>11702000</v>
      </c>
      <c r="BH57" s="52" t="n">
        <v>13511650</v>
      </c>
      <c r="BI57" s="52" t="n">
        <v>10248150</v>
      </c>
      <c r="BJ57" s="52" t="n">
        <v>8550800</v>
      </c>
      <c r="BK57" s="52" t="n">
        <v>9440450</v>
      </c>
      <c r="BL57" s="52" t="n">
        <v>9670550</v>
      </c>
      <c r="BM57" s="52" t="n">
        <v>10634750</v>
      </c>
    </row>
    <row r="58" customFormat="false" ht="15" hidden="false" customHeight="false" outlineLevel="0" collapsed="false">
      <c r="A58" s="19" t="s">
        <v>181</v>
      </c>
      <c r="B58" s="22" t="s">
        <v>332</v>
      </c>
      <c r="C58" s="19" t="s">
        <v>333</v>
      </c>
      <c r="D58" s="52" t="n">
        <v>1</v>
      </c>
      <c r="E58" s="52" t="n">
        <v>0</v>
      </c>
      <c r="F58" s="52" t="n">
        <v>0</v>
      </c>
      <c r="G58" s="52" t="n">
        <v>0</v>
      </c>
      <c r="H58" s="52" t="n">
        <v>0</v>
      </c>
      <c r="I58" s="52" t="n">
        <v>0</v>
      </c>
      <c r="J58" s="52" t="n">
        <v>0</v>
      </c>
      <c r="K58" s="52" t="n">
        <v>0</v>
      </c>
      <c r="L58" s="52" t="n">
        <v>0</v>
      </c>
      <c r="M58" s="52" t="n">
        <v>0</v>
      </c>
      <c r="N58" s="52" t="n">
        <v>0</v>
      </c>
      <c r="O58" s="52" t="n">
        <v>0</v>
      </c>
      <c r="P58" s="52" t="n">
        <v>0</v>
      </c>
      <c r="Q58" s="52" t="n">
        <v>0</v>
      </c>
      <c r="R58" s="52" t="n">
        <v>1322880</v>
      </c>
      <c r="S58" s="52" t="n">
        <v>347500</v>
      </c>
      <c r="T58" s="52" t="n">
        <v>927715</v>
      </c>
      <c r="U58" s="52" t="n">
        <v>5633968</v>
      </c>
      <c r="V58" s="52" t="n">
        <v>1465040</v>
      </c>
      <c r="W58" s="52" t="n">
        <v>2553415</v>
      </c>
      <c r="X58" s="52" t="n">
        <v>2669265</v>
      </c>
      <c r="Y58" s="52" t="n">
        <v>3755060</v>
      </c>
      <c r="Z58" s="52" t="n">
        <v>3390204</v>
      </c>
      <c r="AA58" s="52" t="n">
        <v>3822721</v>
      </c>
      <c r="AB58" s="52" t="n">
        <v>3347593</v>
      </c>
      <c r="AC58" s="52" t="n">
        <v>2141747</v>
      </c>
      <c r="AD58" s="52" t="n">
        <v>4565043</v>
      </c>
      <c r="AE58" s="52" t="n">
        <v>2155914</v>
      </c>
      <c r="AF58" s="52" t="n">
        <v>2553251</v>
      </c>
      <c r="AG58" s="52" t="n">
        <v>3058320</v>
      </c>
      <c r="AH58" s="52" t="n">
        <v>2881843</v>
      </c>
      <c r="AI58" s="52" t="n">
        <v>2418994</v>
      </c>
      <c r="AJ58" s="52" t="n">
        <v>1933340</v>
      </c>
      <c r="AK58" s="52" t="n">
        <v>1635080</v>
      </c>
      <c r="AL58" s="52" t="n">
        <v>2368780</v>
      </c>
      <c r="AM58" s="52" t="n">
        <v>2319620</v>
      </c>
      <c r="AN58" s="52" t="n">
        <v>3094270</v>
      </c>
      <c r="AO58" s="52" t="n">
        <v>1296900</v>
      </c>
      <c r="AP58" s="52" t="n">
        <v>2873399</v>
      </c>
      <c r="AQ58" s="52" t="n">
        <v>1503010</v>
      </c>
      <c r="AR58" s="52" t="n">
        <v>2296020</v>
      </c>
      <c r="AS58" s="52" t="n">
        <v>1108080</v>
      </c>
      <c r="AT58" s="52" t="n">
        <v>1387648</v>
      </c>
      <c r="AU58" s="52" t="n">
        <v>2218800</v>
      </c>
      <c r="AV58" s="52" t="n">
        <v>2019300</v>
      </c>
      <c r="AW58" s="52" t="n">
        <v>1793676</v>
      </c>
      <c r="AX58" s="52" t="n">
        <v>1475910</v>
      </c>
      <c r="AY58" s="52" t="n">
        <v>1631960</v>
      </c>
      <c r="AZ58" s="52" t="n">
        <v>1399700</v>
      </c>
      <c r="BA58" s="52" t="n">
        <v>1513026</v>
      </c>
      <c r="BB58" s="52" t="n">
        <v>1520480</v>
      </c>
      <c r="BC58" s="52" t="n">
        <v>704800</v>
      </c>
      <c r="BD58" s="52" t="n">
        <v>2235990</v>
      </c>
      <c r="BE58" s="52" t="n">
        <v>1799485</v>
      </c>
      <c r="BF58" s="52" t="n">
        <v>938160</v>
      </c>
      <c r="BG58" s="52" t="n">
        <v>2615670</v>
      </c>
      <c r="BH58" s="52" t="n">
        <v>1416040</v>
      </c>
      <c r="BI58" s="52" t="n">
        <v>1814633</v>
      </c>
      <c r="BJ58" s="52" t="n">
        <v>1210880</v>
      </c>
      <c r="BK58" s="52" t="n">
        <v>1755810</v>
      </c>
      <c r="BL58" s="52" t="n">
        <v>1058600</v>
      </c>
      <c r="BM58" s="52" t="n">
        <v>140000</v>
      </c>
    </row>
    <row r="59" customFormat="false" ht="15" hidden="false" customHeight="false" outlineLevel="0" collapsed="false">
      <c r="A59" s="19" t="s">
        <v>181</v>
      </c>
      <c r="B59" s="22" t="s">
        <v>340</v>
      </c>
      <c r="C59" s="19" t="s">
        <v>341</v>
      </c>
      <c r="D59" s="52" t="n">
        <v>4</v>
      </c>
      <c r="E59" s="52" t="n">
        <v>0</v>
      </c>
      <c r="F59" s="52" t="n">
        <v>0</v>
      </c>
      <c r="G59" s="52" t="n">
        <v>0</v>
      </c>
      <c r="H59" s="52" t="n">
        <v>0</v>
      </c>
      <c r="I59" s="52" t="n">
        <v>5481861</v>
      </c>
      <c r="J59" s="52" t="n">
        <v>5631815</v>
      </c>
      <c r="K59" s="52" t="n">
        <v>12475450</v>
      </c>
      <c r="L59" s="52" t="n">
        <v>4368135</v>
      </c>
      <c r="M59" s="52" t="n">
        <v>4979589</v>
      </c>
      <c r="N59" s="52" t="n">
        <v>5416361</v>
      </c>
      <c r="O59" s="52" t="n">
        <v>6120455</v>
      </c>
      <c r="P59" s="52" t="n">
        <v>4939092</v>
      </c>
      <c r="Q59" s="52" t="n">
        <v>4612272</v>
      </c>
      <c r="R59" s="52" t="n">
        <v>4085000</v>
      </c>
      <c r="S59" s="52" t="n">
        <v>4904363</v>
      </c>
      <c r="T59" s="52" t="n">
        <v>4791091</v>
      </c>
      <c r="U59" s="52" t="n">
        <v>6656864</v>
      </c>
      <c r="V59" s="52" t="n">
        <v>5469545</v>
      </c>
      <c r="W59" s="52" t="n">
        <v>5991411</v>
      </c>
      <c r="X59" s="52" t="n">
        <v>6229092</v>
      </c>
      <c r="Y59" s="52" t="n">
        <v>9181818</v>
      </c>
      <c r="Z59" s="52" t="n">
        <v>5403182</v>
      </c>
      <c r="AA59" s="52" t="n">
        <v>5885455</v>
      </c>
      <c r="AB59" s="52" t="n">
        <v>6670500</v>
      </c>
      <c r="AC59" s="52" t="n">
        <v>5781819</v>
      </c>
      <c r="AD59" s="52" t="n">
        <v>7555682</v>
      </c>
      <c r="AE59" s="52" t="n">
        <v>2123182</v>
      </c>
      <c r="AF59" s="52" t="n">
        <v>2035909</v>
      </c>
      <c r="AG59" s="52" t="n">
        <v>2467729</v>
      </c>
      <c r="AH59" s="52" t="n">
        <v>3097773</v>
      </c>
      <c r="AI59" s="52" t="n">
        <v>1661364</v>
      </c>
      <c r="AJ59" s="52" t="n">
        <v>3455909</v>
      </c>
      <c r="AK59" s="52" t="n">
        <v>2384092</v>
      </c>
      <c r="AL59" s="52" t="n">
        <v>2745682</v>
      </c>
      <c r="AM59" s="52" t="n">
        <v>2258183</v>
      </c>
      <c r="AN59" s="52" t="n">
        <v>3023636</v>
      </c>
      <c r="AO59" s="52" t="n">
        <v>3549091</v>
      </c>
      <c r="AP59" s="52" t="n">
        <v>2956365</v>
      </c>
      <c r="AQ59" s="52" t="n">
        <v>1712728</v>
      </c>
      <c r="AR59" s="52" t="n">
        <v>2504090</v>
      </c>
      <c r="AS59" s="52" t="n">
        <v>1822727</v>
      </c>
      <c r="AT59" s="52" t="n">
        <v>1381818</v>
      </c>
      <c r="AU59" s="52" t="n">
        <v>2072727</v>
      </c>
      <c r="AV59" s="52" t="n">
        <v>1131818</v>
      </c>
      <c r="AW59" s="52" t="n">
        <v>1413637</v>
      </c>
      <c r="AX59" s="52" t="n">
        <v>1000000</v>
      </c>
      <c r="AY59" s="52" t="n">
        <v>854546</v>
      </c>
      <c r="AZ59" s="52" t="n">
        <v>2536362</v>
      </c>
      <c r="BA59" s="52" t="n">
        <v>118182</v>
      </c>
      <c r="BB59" s="52" t="n">
        <v>1336363</v>
      </c>
      <c r="BC59" s="52" t="n">
        <v>895454</v>
      </c>
      <c r="BD59" s="52" t="n">
        <v>368182</v>
      </c>
      <c r="BE59" s="52" t="n">
        <v>1090910</v>
      </c>
      <c r="BF59" s="52" t="n">
        <v>368182</v>
      </c>
      <c r="BG59" s="52" t="n">
        <v>1668179</v>
      </c>
      <c r="BH59" s="52" t="n">
        <v>1513636</v>
      </c>
      <c r="BI59" s="52" t="n">
        <v>1309091</v>
      </c>
      <c r="BJ59" s="52" t="n">
        <v>118182</v>
      </c>
      <c r="BK59" s="52" t="n">
        <v>1186362</v>
      </c>
      <c r="BL59" s="52" t="n">
        <v>118182</v>
      </c>
      <c r="BM59" s="52" t="n">
        <v>984546</v>
      </c>
    </row>
    <row r="60" customFormat="false" ht="15" hidden="false" customHeight="false" outlineLevel="0" collapsed="false">
      <c r="A60" s="19" t="s">
        <v>181</v>
      </c>
      <c r="B60" s="22" t="s">
        <v>387</v>
      </c>
      <c r="C60" s="19" t="s">
        <v>388</v>
      </c>
      <c r="D60" s="52" t="n">
        <v>0</v>
      </c>
      <c r="E60" s="52" t="n">
        <v>0</v>
      </c>
      <c r="F60" s="52" t="n">
        <v>0</v>
      </c>
      <c r="G60" s="52" t="n">
        <v>0</v>
      </c>
      <c r="H60" s="52" t="n">
        <v>0</v>
      </c>
      <c r="I60" s="52" t="n">
        <v>96230</v>
      </c>
      <c r="J60" s="52" t="n">
        <v>0</v>
      </c>
      <c r="K60" s="52" t="n">
        <v>0</v>
      </c>
      <c r="L60" s="52" t="n">
        <v>0</v>
      </c>
      <c r="M60" s="52" t="n">
        <v>0</v>
      </c>
      <c r="N60" s="52" t="n">
        <v>0</v>
      </c>
      <c r="O60" s="52" t="n">
        <v>0</v>
      </c>
      <c r="P60" s="52" t="n">
        <v>0</v>
      </c>
      <c r="Q60" s="52" t="n">
        <v>0</v>
      </c>
      <c r="R60" s="52" t="n">
        <v>0</v>
      </c>
      <c r="S60" s="52" t="n">
        <v>0</v>
      </c>
      <c r="T60" s="52" t="n">
        <v>0</v>
      </c>
      <c r="U60" s="52" t="n">
        <v>93580</v>
      </c>
      <c r="V60" s="52" t="n">
        <v>0</v>
      </c>
      <c r="W60" s="52" t="n">
        <v>0</v>
      </c>
      <c r="X60" s="52" t="n">
        <v>0</v>
      </c>
      <c r="Y60" s="52" t="n">
        <v>0</v>
      </c>
      <c r="Z60" s="52" t="n">
        <v>0</v>
      </c>
      <c r="AA60" s="52" t="n">
        <v>0</v>
      </c>
      <c r="AB60" s="52" t="n">
        <v>0</v>
      </c>
      <c r="AC60" s="52" t="n">
        <v>0</v>
      </c>
      <c r="AD60" s="52" t="n">
        <v>0</v>
      </c>
      <c r="AE60" s="52" t="n">
        <v>0</v>
      </c>
      <c r="AF60" s="52" t="n">
        <v>0</v>
      </c>
      <c r="AG60" s="52" t="n">
        <v>0</v>
      </c>
      <c r="AH60" s="52" t="n">
        <v>0</v>
      </c>
      <c r="AI60" s="52" t="n">
        <v>0</v>
      </c>
      <c r="AJ60" s="52" t="n">
        <v>0</v>
      </c>
      <c r="AK60" s="52" t="n">
        <v>0</v>
      </c>
      <c r="AL60" s="52" t="n">
        <v>0</v>
      </c>
      <c r="AM60" s="52" t="n">
        <v>0</v>
      </c>
      <c r="AN60" s="52" t="n">
        <v>0</v>
      </c>
      <c r="AO60" s="52" t="n">
        <v>0</v>
      </c>
      <c r="AP60" s="52" t="n">
        <v>0</v>
      </c>
      <c r="AQ60" s="52" t="n">
        <v>0</v>
      </c>
      <c r="AR60" s="52" t="n">
        <v>0</v>
      </c>
      <c r="AS60" s="52" t="n">
        <v>0</v>
      </c>
      <c r="AT60" s="52" t="n">
        <v>0</v>
      </c>
      <c r="AU60" s="52" t="n">
        <v>0</v>
      </c>
      <c r="AV60" s="52" t="n">
        <v>0</v>
      </c>
      <c r="AW60" s="52" t="n">
        <v>0</v>
      </c>
      <c r="AX60" s="52" t="n">
        <v>0</v>
      </c>
      <c r="AY60" s="52" t="n">
        <v>0</v>
      </c>
      <c r="AZ60" s="52" t="n">
        <v>0</v>
      </c>
      <c r="BA60" s="52" t="n">
        <v>0</v>
      </c>
      <c r="BB60" s="52" t="n">
        <v>0</v>
      </c>
      <c r="BC60" s="52" t="n">
        <v>0</v>
      </c>
      <c r="BD60" s="52" t="n">
        <v>0</v>
      </c>
      <c r="BE60" s="52" t="n">
        <v>0</v>
      </c>
      <c r="BF60" s="52" t="n">
        <v>0</v>
      </c>
      <c r="BG60" s="52" t="n">
        <v>0</v>
      </c>
      <c r="BH60" s="52" t="n">
        <v>0</v>
      </c>
      <c r="BI60" s="52" t="n">
        <v>0</v>
      </c>
      <c r="BJ60" s="52" t="n">
        <v>0</v>
      </c>
      <c r="BK60" s="52" t="n">
        <v>0</v>
      </c>
      <c r="BL60" s="52" t="n">
        <v>0</v>
      </c>
      <c r="BM60" s="52" t="n">
        <v>0</v>
      </c>
    </row>
    <row r="61" customFormat="false" ht="15" hidden="false" customHeight="false" outlineLevel="0" collapsed="false">
      <c r="A61" s="19" t="s">
        <v>181</v>
      </c>
      <c r="B61" s="22" t="s">
        <v>201</v>
      </c>
      <c r="C61" s="19" t="s">
        <v>202</v>
      </c>
      <c r="D61" s="52" t="n">
        <v>156</v>
      </c>
      <c r="E61" s="52" t="n">
        <v>151618950</v>
      </c>
      <c r="F61" s="52" t="n">
        <v>170264482</v>
      </c>
      <c r="G61" s="52" t="n">
        <v>197819417</v>
      </c>
      <c r="H61" s="52" t="n">
        <v>178361686</v>
      </c>
      <c r="I61" s="52" t="n">
        <v>176278837</v>
      </c>
      <c r="J61" s="52" t="n">
        <v>184805990</v>
      </c>
      <c r="K61" s="52" t="n">
        <v>270021167</v>
      </c>
      <c r="L61" s="52" t="n">
        <v>111338491</v>
      </c>
      <c r="M61" s="52" t="n">
        <v>207243968</v>
      </c>
      <c r="N61" s="52" t="n">
        <v>186408741</v>
      </c>
      <c r="O61" s="52" t="n">
        <v>170813988</v>
      </c>
      <c r="P61" s="52" t="n">
        <v>186294455</v>
      </c>
      <c r="Q61" s="52" t="n">
        <v>176499981</v>
      </c>
      <c r="R61" s="52" t="n">
        <v>134485557</v>
      </c>
      <c r="S61" s="52" t="n">
        <v>118532670</v>
      </c>
      <c r="T61" s="52" t="n">
        <v>110104212</v>
      </c>
      <c r="U61" s="52" t="n">
        <v>109495523</v>
      </c>
      <c r="V61" s="52" t="n">
        <v>108387120</v>
      </c>
      <c r="W61" s="52" t="n">
        <v>118536760</v>
      </c>
      <c r="X61" s="52" t="n">
        <v>117736318</v>
      </c>
      <c r="Y61" s="52" t="n">
        <v>111355004</v>
      </c>
      <c r="Z61" s="52" t="n">
        <v>105462339</v>
      </c>
      <c r="AA61" s="52" t="n">
        <v>111610799</v>
      </c>
      <c r="AB61" s="52" t="n">
        <v>112604812</v>
      </c>
      <c r="AC61" s="52" t="n">
        <v>115187959</v>
      </c>
      <c r="AD61" s="52" t="n">
        <v>144098059</v>
      </c>
      <c r="AE61" s="52" t="n">
        <v>83664429</v>
      </c>
      <c r="AF61" s="52" t="n">
        <v>111867243</v>
      </c>
      <c r="AG61" s="52" t="n">
        <v>100569321</v>
      </c>
      <c r="AH61" s="52" t="n">
        <v>106447566</v>
      </c>
      <c r="AI61" s="52" t="n">
        <v>106651575</v>
      </c>
      <c r="AJ61" s="52" t="n">
        <v>100236038</v>
      </c>
      <c r="AK61" s="52" t="n">
        <v>101317480</v>
      </c>
      <c r="AL61" s="52" t="n">
        <v>97125757</v>
      </c>
      <c r="AM61" s="52" t="n">
        <v>104855340</v>
      </c>
      <c r="AN61" s="52" t="n">
        <v>100855105</v>
      </c>
      <c r="AO61" s="52" t="n">
        <v>115346043</v>
      </c>
      <c r="AP61" s="52" t="n">
        <v>107193420</v>
      </c>
      <c r="AQ61" s="52" t="n">
        <v>111324446</v>
      </c>
      <c r="AR61" s="52" t="n">
        <v>113377306</v>
      </c>
      <c r="AS61" s="52" t="n">
        <v>112332148</v>
      </c>
      <c r="AT61" s="52" t="n">
        <v>121670147</v>
      </c>
      <c r="AU61" s="52" t="n">
        <v>111246895</v>
      </c>
      <c r="AV61" s="52" t="n">
        <v>109437210</v>
      </c>
      <c r="AW61" s="52" t="n">
        <v>111521479</v>
      </c>
      <c r="AX61" s="52" t="n">
        <v>112271532</v>
      </c>
      <c r="AY61" s="52" t="n">
        <v>109795136</v>
      </c>
      <c r="AZ61" s="52" t="n">
        <v>118054219</v>
      </c>
      <c r="BA61" s="52" t="n">
        <v>111835495</v>
      </c>
      <c r="BB61" s="52" t="n">
        <v>109814692</v>
      </c>
      <c r="BC61" s="52" t="n">
        <v>112512349</v>
      </c>
      <c r="BD61" s="52" t="n">
        <v>108713536</v>
      </c>
      <c r="BE61" s="52" t="n">
        <v>101162478</v>
      </c>
      <c r="BF61" s="52" t="n">
        <v>98568719</v>
      </c>
      <c r="BG61" s="52" t="n">
        <v>114031573</v>
      </c>
      <c r="BH61" s="52" t="n">
        <v>107110769</v>
      </c>
      <c r="BI61" s="52" t="n">
        <v>108797784</v>
      </c>
      <c r="BJ61" s="52" t="n">
        <v>122185016</v>
      </c>
      <c r="BK61" s="52" t="n">
        <v>92369421</v>
      </c>
      <c r="BL61" s="52" t="n">
        <v>98336689</v>
      </c>
      <c r="BM61" s="52" t="n">
        <v>105584297</v>
      </c>
    </row>
    <row r="62" customFormat="false" ht="15" hidden="false" customHeight="false" outlineLevel="0" collapsed="false">
      <c r="A62" s="19" t="s">
        <v>181</v>
      </c>
      <c r="B62" s="22" t="s">
        <v>292</v>
      </c>
      <c r="C62" s="19" t="s">
        <v>293</v>
      </c>
      <c r="D62" s="52" t="n">
        <v>9</v>
      </c>
      <c r="E62" s="52" t="n">
        <v>7372202</v>
      </c>
      <c r="F62" s="52" t="n">
        <v>6326596</v>
      </c>
      <c r="G62" s="52" t="n">
        <v>8508125</v>
      </c>
      <c r="H62" s="52" t="n">
        <v>6714778</v>
      </c>
      <c r="I62" s="52" t="n">
        <v>7290550</v>
      </c>
      <c r="J62" s="52" t="n">
        <v>8184314</v>
      </c>
      <c r="K62" s="52" t="n">
        <v>11073564</v>
      </c>
      <c r="L62" s="52" t="n">
        <v>3809214</v>
      </c>
      <c r="M62" s="52" t="n">
        <v>7722519</v>
      </c>
      <c r="N62" s="52" t="n">
        <v>7005801</v>
      </c>
      <c r="O62" s="52" t="n">
        <v>7660180</v>
      </c>
      <c r="P62" s="52" t="n">
        <v>7144934</v>
      </c>
      <c r="Q62" s="52" t="n">
        <v>8105520</v>
      </c>
      <c r="R62" s="52" t="n">
        <v>7160566</v>
      </c>
      <c r="S62" s="52" t="n">
        <v>7297332</v>
      </c>
      <c r="T62" s="52" t="n">
        <v>6886081</v>
      </c>
      <c r="U62" s="52" t="n">
        <v>7098403</v>
      </c>
      <c r="V62" s="52" t="n">
        <v>5852291</v>
      </c>
      <c r="W62" s="52" t="n">
        <v>6681975</v>
      </c>
      <c r="X62" s="52" t="n">
        <v>5625293</v>
      </c>
      <c r="Y62" s="52" t="n">
        <v>6035266</v>
      </c>
      <c r="Z62" s="52" t="n">
        <v>5877690</v>
      </c>
      <c r="AA62" s="52" t="n">
        <v>6418960</v>
      </c>
      <c r="AB62" s="52" t="n">
        <v>6450635</v>
      </c>
      <c r="AC62" s="52" t="n">
        <v>5762030</v>
      </c>
      <c r="AD62" s="52" t="n">
        <v>7869420</v>
      </c>
      <c r="AE62" s="52" t="n">
        <v>4306079</v>
      </c>
      <c r="AF62" s="52" t="n">
        <v>6761736</v>
      </c>
      <c r="AG62" s="52" t="n">
        <v>7320372</v>
      </c>
      <c r="AH62" s="52" t="n">
        <v>7203150</v>
      </c>
      <c r="AI62" s="52" t="n">
        <v>7630886</v>
      </c>
      <c r="AJ62" s="52" t="n">
        <v>7176962</v>
      </c>
      <c r="AK62" s="52" t="n">
        <v>7580959</v>
      </c>
      <c r="AL62" s="52" t="n">
        <v>6754900</v>
      </c>
      <c r="AM62" s="52" t="n">
        <v>6667131</v>
      </c>
      <c r="AN62" s="52" t="n">
        <v>7174714</v>
      </c>
      <c r="AO62" s="52" t="n">
        <v>7297896</v>
      </c>
      <c r="AP62" s="52" t="n">
        <v>6672177</v>
      </c>
      <c r="AQ62" s="52" t="n">
        <v>6204641</v>
      </c>
      <c r="AR62" s="52" t="n">
        <v>6722298</v>
      </c>
      <c r="AS62" s="52" t="n">
        <v>5754697</v>
      </c>
      <c r="AT62" s="52" t="n">
        <v>7162097</v>
      </c>
      <c r="AU62" s="52" t="n">
        <v>6471437</v>
      </c>
      <c r="AV62" s="52" t="n">
        <v>5443873</v>
      </c>
      <c r="AW62" s="52" t="n">
        <v>5747425</v>
      </c>
      <c r="AX62" s="52" t="n">
        <v>5353036</v>
      </c>
      <c r="AY62" s="52" t="n">
        <v>5794400</v>
      </c>
      <c r="AZ62" s="52" t="n">
        <v>4310420</v>
      </c>
      <c r="BA62" s="52" t="n">
        <v>5490011</v>
      </c>
      <c r="BB62" s="52" t="n">
        <v>4870050</v>
      </c>
      <c r="BC62" s="52" t="n">
        <v>5204843</v>
      </c>
      <c r="BD62" s="52" t="n">
        <v>4992006</v>
      </c>
      <c r="BE62" s="52" t="n">
        <v>4990143</v>
      </c>
      <c r="BF62" s="52" t="n">
        <v>4161555</v>
      </c>
      <c r="BG62" s="52" t="n">
        <v>5607816</v>
      </c>
      <c r="BH62" s="52" t="n">
        <v>5092693</v>
      </c>
      <c r="BI62" s="52" t="n">
        <v>5004481</v>
      </c>
      <c r="BJ62" s="52" t="n">
        <v>4214010</v>
      </c>
      <c r="BK62" s="52" t="n">
        <v>5425724</v>
      </c>
      <c r="BL62" s="52" t="n">
        <v>4034984</v>
      </c>
      <c r="BM62" s="52" t="n">
        <v>5374458</v>
      </c>
    </row>
    <row r="63" customFormat="false" ht="15" hidden="false" customHeight="false" outlineLevel="0" collapsed="false">
      <c r="A63" s="19" t="s">
        <v>181</v>
      </c>
      <c r="B63" s="22" t="s">
        <v>282</v>
      </c>
      <c r="C63" s="19" t="s">
        <v>283</v>
      </c>
      <c r="D63" s="52" t="n">
        <v>10</v>
      </c>
      <c r="E63" s="52" t="n">
        <v>11344408</v>
      </c>
      <c r="F63" s="52" t="n">
        <v>12731028</v>
      </c>
      <c r="G63" s="52" t="n">
        <v>12931663</v>
      </c>
      <c r="H63" s="52" t="n">
        <v>11677733</v>
      </c>
      <c r="I63" s="52" t="n">
        <v>11952433</v>
      </c>
      <c r="J63" s="52" t="n">
        <v>12496431</v>
      </c>
      <c r="K63" s="52" t="n">
        <v>10539822</v>
      </c>
      <c r="L63" s="52" t="n">
        <v>3231630</v>
      </c>
      <c r="M63" s="52" t="n">
        <v>12711680</v>
      </c>
      <c r="N63" s="52" t="n">
        <v>11289911</v>
      </c>
      <c r="O63" s="52" t="n">
        <v>11937678</v>
      </c>
      <c r="P63" s="52" t="n">
        <v>9187020</v>
      </c>
      <c r="Q63" s="52" t="n">
        <v>10467483</v>
      </c>
      <c r="R63" s="52" t="n">
        <v>8861123</v>
      </c>
      <c r="S63" s="52" t="n">
        <v>8429639</v>
      </c>
      <c r="T63" s="52" t="n">
        <v>10391129</v>
      </c>
      <c r="U63" s="52" t="n">
        <v>9323928</v>
      </c>
      <c r="V63" s="52" t="n">
        <v>8797474</v>
      </c>
      <c r="W63" s="52" t="n">
        <v>9109220</v>
      </c>
      <c r="X63" s="52" t="n">
        <v>8497454</v>
      </c>
      <c r="Y63" s="52" t="n">
        <v>8560211</v>
      </c>
      <c r="Z63" s="52" t="n">
        <v>8417225</v>
      </c>
      <c r="AA63" s="52" t="n">
        <v>9039444</v>
      </c>
      <c r="AB63" s="52" t="n">
        <v>9187785</v>
      </c>
      <c r="AC63" s="52" t="n">
        <v>8493526</v>
      </c>
      <c r="AD63" s="52" t="n">
        <v>9195234</v>
      </c>
      <c r="AE63" s="52" t="n">
        <v>5355382</v>
      </c>
      <c r="AF63" s="52" t="n">
        <v>7863421</v>
      </c>
      <c r="AG63" s="52" t="n">
        <v>7361527</v>
      </c>
      <c r="AH63" s="52" t="n">
        <v>7730339</v>
      </c>
      <c r="AI63" s="52" t="n">
        <v>8286667</v>
      </c>
      <c r="AJ63" s="52" t="n">
        <v>9616373</v>
      </c>
      <c r="AK63" s="52" t="n">
        <v>9046178</v>
      </c>
      <c r="AL63" s="52" t="n">
        <v>7475075</v>
      </c>
      <c r="AM63" s="52" t="n">
        <v>10357724</v>
      </c>
      <c r="AN63" s="52" t="n">
        <v>8020395</v>
      </c>
      <c r="AO63" s="52" t="n">
        <v>7276817</v>
      </c>
      <c r="AP63" s="52" t="n">
        <v>6180444</v>
      </c>
      <c r="AQ63" s="52" t="n">
        <v>8434598</v>
      </c>
      <c r="AR63" s="52" t="n">
        <v>9752998</v>
      </c>
      <c r="AS63" s="52" t="n">
        <v>8060863</v>
      </c>
      <c r="AT63" s="52" t="n">
        <v>7169063</v>
      </c>
      <c r="AU63" s="52" t="n">
        <v>8528520</v>
      </c>
      <c r="AV63" s="52" t="n">
        <v>10242596</v>
      </c>
      <c r="AW63" s="52" t="n">
        <v>8629286</v>
      </c>
      <c r="AX63" s="52" t="n">
        <v>10324982</v>
      </c>
      <c r="AY63" s="52" t="n">
        <v>8171694</v>
      </c>
      <c r="AZ63" s="52" t="n">
        <v>7046126</v>
      </c>
      <c r="BA63" s="52" t="n">
        <v>7643172</v>
      </c>
      <c r="BB63" s="52" t="n">
        <v>9243258</v>
      </c>
      <c r="BC63" s="52" t="n">
        <v>9004868</v>
      </c>
      <c r="BD63" s="52" t="n">
        <v>7703126</v>
      </c>
      <c r="BE63" s="52" t="n">
        <v>7453530</v>
      </c>
      <c r="BF63" s="52" t="n">
        <v>7804392</v>
      </c>
      <c r="BG63" s="52" t="n">
        <v>7924276</v>
      </c>
      <c r="BH63" s="52" t="n">
        <v>8894538</v>
      </c>
      <c r="BI63" s="52" t="n">
        <v>8509230</v>
      </c>
      <c r="BJ63" s="52" t="n">
        <v>3804994</v>
      </c>
      <c r="BK63" s="52" t="n">
        <v>7234924</v>
      </c>
      <c r="BL63" s="52" t="n">
        <v>5319612</v>
      </c>
      <c r="BM63" s="52" t="n">
        <v>8512410</v>
      </c>
    </row>
    <row r="64" customFormat="false" ht="15" hidden="false" customHeight="false" outlineLevel="0" collapsed="false">
      <c r="A64" s="19" t="s">
        <v>181</v>
      </c>
      <c r="B64" s="22" t="s">
        <v>270</v>
      </c>
      <c r="C64" s="19" t="s">
        <v>271</v>
      </c>
      <c r="D64" s="52" t="n">
        <v>7</v>
      </c>
      <c r="E64" s="52" t="n">
        <v>6280360</v>
      </c>
      <c r="F64" s="52" t="n">
        <v>6200150</v>
      </c>
      <c r="G64" s="52" t="n">
        <v>4871180</v>
      </c>
      <c r="H64" s="52" t="n">
        <v>6481770</v>
      </c>
      <c r="I64" s="52" t="n">
        <v>5805470</v>
      </c>
      <c r="J64" s="52" t="n">
        <v>6458790</v>
      </c>
      <c r="K64" s="52" t="n">
        <v>10663810</v>
      </c>
      <c r="L64" s="52" t="n">
        <v>6010930</v>
      </c>
      <c r="M64" s="52" t="n">
        <v>4715510</v>
      </c>
      <c r="N64" s="52" t="n">
        <v>6354330</v>
      </c>
      <c r="O64" s="52" t="n">
        <v>7427220</v>
      </c>
      <c r="P64" s="52" t="n">
        <v>5954980</v>
      </c>
      <c r="Q64" s="52" t="n">
        <v>6257010</v>
      </c>
      <c r="R64" s="52" t="n">
        <v>6472670</v>
      </c>
      <c r="S64" s="52" t="n">
        <v>5785610</v>
      </c>
      <c r="T64" s="52" t="n">
        <v>11094190</v>
      </c>
      <c r="U64" s="52" t="n">
        <v>6738650</v>
      </c>
      <c r="V64" s="52" t="n">
        <v>7676270</v>
      </c>
      <c r="W64" s="52" t="n">
        <v>10068130</v>
      </c>
      <c r="X64" s="52" t="n">
        <v>9407320</v>
      </c>
      <c r="Y64" s="52" t="n">
        <v>8683320</v>
      </c>
      <c r="Z64" s="52" t="n">
        <v>7637320</v>
      </c>
      <c r="AA64" s="52" t="n">
        <v>8182780</v>
      </c>
      <c r="AB64" s="52" t="n">
        <v>8907850</v>
      </c>
      <c r="AC64" s="52" t="n">
        <v>8652300</v>
      </c>
      <c r="AD64" s="52" t="n">
        <v>10531320</v>
      </c>
      <c r="AE64" s="52" t="n">
        <v>9959770</v>
      </c>
      <c r="AF64" s="52" t="n">
        <v>9777550</v>
      </c>
      <c r="AG64" s="52" t="n">
        <v>9387820</v>
      </c>
      <c r="AH64" s="52" t="n">
        <v>7961710</v>
      </c>
      <c r="AI64" s="52" t="n">
        <v>8893960</v>
      </c>
      <c r="AJ64" s="52" t="n">
        <v>8269880</v>
      </c>
      <c r="AK64" s="52" t="n">
        <v>7617340</v>
      </c>
      <c r="AL64" s="52" t="n">
        <v>7233400</v>
      </c>
      <c r="AM64" s="52" t="n">
        <v>6734780</v>
      </c>
      <c r="AN64" s="52" t="n">
        <v>7231520</v>
      </c>
      <c r="AO64" s="52" t="n">
        <v>9305990</v>
      </c>
      <c r="AP64" s="52" t="n">
        <v>8531560</v>
      </c>
      <c r="AQ64" s="52" t="n">
        <v>5899720</v>
      </c>
      <c r="AR64" s="52" t="n">
        <v>7348260</v>
      </c>
      <c r="AS64" s="52" t="n">
        <v>8310600</v>
      </c>
      <c r="AT64" s="52" t="n">
        <v>7596650</v>
      </c>
      <c r="AU64" s="52" t="n">
        <v>9980580</v>
      </c>
      <c r="AV64" s="52" t="n">
        <v>9395740</v>
      </c>
      <c r="AW64" s="52" t="n">
        <v>11010350</v>
      </c>
      <c r="AX64" s="52" t="n">
        <v>9237640</v>
      </c>
      <c r="AY64" s="52" t="n">
        <v>8796620</v>
      </c>
      <c r="AZ64" s="52" t="n">
        <v>8501120</v>
      </c>
      <c r="BA64" s="52" t="n">
        <v>7346440</v>
      </c>
      <c r="BB64" s="52" t="n">
        <v>7585940</v>
      </c>
      <c r="BC64" s="52" t="n">
        <v>7009500</v>
      </c>
      <c r="BD64" s="52" t="n">
        <v>7015090</v>
      </c>
      <c r="BE64" s="52" t="n">
        <v>6246370</v>
      </c>
      <c r="BF64" s="52" t="n">
        <v>7867280</v>
      </c>
      <c r="BG64" s="52" t="n">
        <v>5517300</v>
      </c>
      <c r="BH64" s="52" t="n">
        <v>10969310</v>
      </c>
      <c r="BI64" s="52" t="n">
        <v>8146900</v>
      </c>
      <c r="BJ64" s="52" t="n">
        <v>9791440</v>
      </c>
      <c r="BK64" s="52" t="n">
        <v>8805250</v>
      </c>
      <c r="BL64" s="52" t="n">
        <v>7566810</v>
      </c>
      <c r="BM64" s="52" t="n">
        <v>7172110</v>
      </c>
    </row>
    <row r="65" customFormat="false" ht="15" hidden="false" customHeight="false" outlineLevel="0" collapsed="false">
      <c r="A65" s="19" t="s">
        <v>181</v>
      </c>
      <c r="B65" s="22" t="s">
        <v>389</v>
      </c>
      <c r="C65" s="19" t="s">
        <v>390</v>
      </c>
      <c r="D65" s="52" t="n">
        <v>0</v>
      </c>
      <c r="E65" s="52" t="n">
        <v>3802010</v>
      </c>
      <c r="F65" s="52" t="n">
        <v>3361950</v>
      </c>
      <c r="G65" s="52" t="n">
        <v>6614010</v>
      </c>
      <c r="H65" s="52" t="n">
        <v>6414690</v>
      </c>
      <c r="I65" s="52" t="n">
        <v>4546310</v>
      </c>
      <c r="J65" s="52" t="n">
        <v>6218800</v>
      </c>
      <c r="K65" s="52" t="n">
        <v>4122020</v>
      </c>
      <c r="L65" s="52" t="n">
        <v>2696960</v>
      </c>
      <c r="M65" s="52" t="n">
        <v>6421730</v>
      </c>
      <c r="N65" s="52" t="n">
        <v>5322400</v>
      </c>
      <c r="O65" s="52" t="n">
        <v>8284940</v>
      </c>
      <c r="P65" s="52" t="n">
        <v>6524090</v>
      </c>
      <c r="Q65" s="52" t="n">
        <v>6450600</v>
      </c>
      <c r="R65" s="52" t="n">
        <v>4709080</v>
      </c>
      <c r="S65" s="52" t="n">
        <v>5551530</v>
      </c>
      <c r="T65" s="52" t="n">
        <v>4161550</v>
      </c>
      <c r="U65" s="52" t="n">
        <v>5927680</v>
      </c>
      <c r="V65" s="52" t="n">
        <v>5679030</v>
      </c>
      <c r="W65" s="52" t="n">
        <v>3620390</v>
      </c>
      <c r="X65" s="52" t="n">
        <v>3473970</v>
      </c>
      <c r="Y65" s="52" t="n">
        <v>4213800</v>
      </c>
      <c r="Z65" s="52" t="n">
        <v>6502020</v>
      </c>
      <c r="AA65" s="52" t="n">
        <v>0</v>
      </c>
      <c r="AB65" s="52" t="n">
        <v>0</v>
      </c>
      <c r="AC65" s="52" t="n">
        <v>0</v>
      </c>
      <c r="AD65" s="52" t="n">
        <v>0</v>
      </c>
      <c r="AE65" s="52" t="n">
        <v>0</v>
      </c>
      <c r="AF65" s="52" t="n">
        <v>0</v>
      </c>
      <c r="AG65" s="52" t="n">
        <v>0</v>
      </c>
      <c r="AH65" s="52" t="n">
        <v>0</v>
      </c>
      <c r="AI65" s="52" t="n">
        <v>0</v>
      </c>
      <c r="AJ65" s="52" t="n">
        <v>0</v>
      </c>
      <c r="AK65" s="52" t="n">
        <v>0</v>
      </c>
      <c r="AL65" s="52" t="n">
        <v>0</v>
      </c>
      <c r="AM65" s="52" t="n">
        <v>0</v>
      </c>
      <c r="AN65" s="52" t="n">
        <v>0</v>
      </c>
      <c r="AO65" s="52" t="n">
        <v>0</v>
      </c>
      <c r="AP65" s="52" t="n">
        <v>0</v>
      </c>
      <c r="AQ65" s="52" t="n">
        <v>0</v>
      </c>
      <c r="AR65" s="52" t="n">
        <v>0</v>
      </c>
      <c r="AS65" s="52" t="n">
        <v>0</v>
      </c>
      <c r="AT65" s="52" t="n">
        <v>0</v>
      </c>
      <c r="AU65" s="52" t="n">
        <v>0</v>
      </c>
      <c r="AV65" s="52" t="n">
        <v>0</v>
      </c>
      <c r="AW65" s="52" t="n">
        <v>0</v>
      </c>
      <c r="AX65" s="52" t="n">
        <v>0</v>
      </c>
      <c r="AY65" s="52" t="n">
        <v>0</v>
      </c>
      <c r="AZ65" s="52" t="n">
        <v>0</v>
      </c>
      <c r="BA65" s="52" t="n">
        <v>0</v>
      </c>
      <c r="BB65" s="52" t="n">
        <v>0</v>
      </c>
      <c r="BC65" s="52" t="n">
        <v>0</v>
      </c>
      <c r="BD65" s="52" t="n">
        <v>0</v>
      </c>
      <c r="BE65" s="52" t="n">
        <v>0</v>
      </c>
      <c r="BF65" s="52" t="n">
        <v>0</v>
      </c>
      <c r="BG65" s="52" t="n">
        <v>0</v>
      </c>
      <c r="BH65" s="52" t="n">
        <v>0</v>
      </c>
      <c r="BI65" s="52" t="n">
        <v>0</v>
      </c>
      <c r="BJ65" s="52" t="n">
        <v>0</v>
      </c>
      <c r="BK65" s="52" t="n">
        <v>0</v>
      </c>
      <c r="BL65" s="52" t="n">
        <v>0</v>
      </c>
      <c r="BM65" s="52" t="n">
        <v>0</v>
      </c>
    </row>
    <row r="66" customFormat="false" ht="15" hidden="false" customHeight="false" outlineLevel="0" collapsed="false">
      <c r="A66" s="19" t="s">
        <v>181</v>
      </c>
      <c r="B66" s="22" t="s">
        <v>296</v>
      </c>
      <c r="C66" s="22" t="s">
        <v>297</v>
      </c>
      <c r="D66" s="52" t="n">
        <v>2</v>
      </c>
      <c r="E66" s="52" t="n">
        <v>7177630</v>
      </c>
      <c r="F66" s="52" t="n">
        <v>7484640</v>
      </c>
      <c r="G66" s="52" t="n">
        <v>7685740</v>
      </c>
      <c r="H66" s="52" t="n">
        <v>7892150</v>
      </c>
      <c r="I66" s="52" t="n">
        <v>8111240</v>
      </c>
      <c r="J66" s="52" t="n">
        <v>8833030</v>
      </c>
      <c r="K66" s="52" t="n">
        <v>9159640</v>
      </c>
      <c r="L66" s="52" t="n">
        <v>2465420</v>
      </c>
      <c r="M66" s="52" t="n">
        <v>9131790</v>
      </c>
      <c r="N66" s="52" t="n">
        <v>7793030</v>
      </c>
      <c r="O66" s="52" t="n">
        <v>8001500</v>
      </c>
      <c r="P66" s="52" t="n">
        <v>6864660</v>
      </c>
      <c r="Q66" s="52" t="n">
        <v>7659320</v>
      </c>
      <c r="R66" s="52" t="n">
        <v>9027350</v>
      </c>
      <c r="S66" s="52" t="n">
        <v>7811920</v>
      </c>
      <c r="T66" s="52" t="n">
        <v>7779210</v>
      </c>
      <c r="U66" s="52" t="n">
        <v>8040270</v>
      </c>
      <c r="V66" s="52" t="n">
        <v>8243120</v>
      </c>
      <c r="W66" s="52" t="n">
        <v>8181435</v>
      </c>
      <c r="X66" s="52" t="n">
        <v>6819857</v>
      </c>
      <c r="Y66" s="52" t="n">
        <v>7689121</v>
      </c>
      <c r="Z66" s="52" t="n">
        <v>6907201</v>
      </c>
      <c r="AA66" s="52" t="n">
        <v>7905119</v>
      </c>
      <c r="AB66" s="52" t="n">
        <v>7017388</v>
      </c>
      <c r="AC66" s="52" t="n">
        <v>7923901</v>
      </c>
      <c r="AD66" s="52" t="n">
        <v>7620560</v>
      </c>
      <c r="AE66" s="52" t="n">
        <v>3281677</v>
      </c>
      <c r="AF66" s="52" t="n">
        <v>8172202</v>
      </c>
      <c r="AG66" s="52" t="n">
        <v>7256686</v>
      </c>
      <c r="AH66" s="52" t="n">
        <v>4589457</v>
      </c>
      <c r="AI66" s="52" t="n">
        <v>8579415</v>
      </c>
      <c r="AJ66" s="52" t="n">
        <v>7038599</v>
      </c>
      <c r="AK66" s="52" t="n">
        <v>6952095</v>
      </c>
      <c r="AL66" s="52" t="n">
        <v>7552894</v>
      </c>
      <c r="AM66" s="52" t="n">
        <v>7303004</v>
      </c>
      <c r="AN66" s="52" t="n">
        <v>5717229</v>
      </c>
      <c r="AO66" s="52" t="n">
        <v>6693477</v>
      </c>
      <c r="AP66" s="52" t="n">
        <v>6749898</v>
      </c>
      <c r="AQ66" s="52" t="n">
        <v>6972283</v>
      </c>
      <c r="AR66" s="52" t="n">
        <v>6313561</v>
      </c>
      <c r="AS66" s="52" t="n">
        <v>5958625</v>
      </c>
      <c r="AT66" s="52" t="n">
        <v>6506257</v>
      </c>
      <c r="AU66" s="52" t="n">
        <v>7555151</v>
      </c>
      <c r="AV66" s="52" t="n">
        <v>5532880</v>
      </c>
      <c r="AW66" s="52" t="n">
        <v>7479526</v>
      </c>
      <c r="AX66" s="52" t="n">
        <v>6563573</v>
      </c>
      <c r="AY66" s="52" t="n">
        <v>5814307</v>
      </c>
      <c r="AZ66" s="52" t="n">
        <v>4918638</v>
      </c>
      <c r="BA66" s="52" t="n">
        <v>7945061</v>
      </c>
      <c r="BB66" s="52" t="n">
        <v>4895856</v>
      </c>
      <c r="BC66" s="52" t="n">
        <v>4582471</v>
      </c>
      <c r="BD66" s="52" t="n">
        <v>3880117</v>
      </c>
      <c r="BE66" s="52" t="n">
        <v>5671196</v>
      </c>
      <c r="BF66" s="52" t="n">
        <v>7923122</v>
      </c>
      <c r="BG66" s="52" t="n">
        <v>6765789</v>
      </c>
      <c r="BH66" s="52" t="n">
        <v>7601775</v>
      </c>
      <c r="BI66" s="52" t="n">
        <v>4673431</v>
      </c>
      <c r="BJ66" s="52" t="n">
        <v>3459267</v>
      </c>
      <c r="BK66" s="52" t="n">
        <v>4308614</v>
      </c>
      <c r="BL66" s="52" t="n">
        <v>3744708</v>
      </c>
      <c r="BM66" s="52" t="n">
        <v>5136616</v>
      </c>
    </row>
    <row r="67" customFormat="false" ht="15" hidden="false" customHeight="false" outlineLevel="0" collapsed="false">
      <c r="A67" s="19" t="s">
        <v>181</v>
      </c>
      <c r="B67" s="22" t="s">
        <v>249</v>
      </c>
      <c r="C67" s="19" t="s">
        <v>71</v>
      </c>
      <c r="D67" s="52" t="n">
        <v>12</v>
      </c>
      <c r="E67" s="52" t="n">
        <v>21647609</v>
      </c>
      <c r="F67" s="52" t="n">
        <v>21555231</v>
      </c>
      <c r="G67" s="52" t="n">
        <v>20336451</v>
      </c>
      <c r="H67" s="52" t="n">
        <v>23532333</v>
      </c>
      <c r="I67" s="52" t="n">
        <v>21569877</v>
      </c>
      <c r="J67" s="52" t="n">
        <v>23088410</v>
      </c>
      <c r="K67" s="52" t="n">
        <v>27575351</v>
      </c>
      <c r="L67" s="52" t="n">
        <v>12039878</v>
      </c>
      <c r="M67" s="52" t="n">
        <v>20260658</v>
      </c>
      <c r="N67" s="52" t="n">
        <v>19921759</v>
      </c>
      <c r="O67" s="52" t="n">
        <v>21969178</v>
      </c>
      <c r="P67" s="52" t="n">
        <v>19080830</v>
      </c>
      <c r="Q67" s="52" t="n">
        <v>20658674</v>
      </c>
      <c r="R67" s="52" t="n">
        <v>17815065</v>
      </c>
      <c r="S67" s="52" t="n">
        <v>18140389</v>
      </c>
      <c r="T67" s="52" t="n">
        <v>19388998</v>
      </c>
      <c r="U67" s="52" t="n">
        <v>15411448</v>
      </c>
      <c r="V67" s="52" t="n">
        <v>21204950</v>
      </c>
      <c r="W67" s="52" t="n">
        <v>21504140</v>
      </c>
      <c r="X67" s="52" t="n">
        <v>19790475</v>
      </c>
      <c r="Y67" s="52" t="n">
        <v>17855195</v>
      </c>
      <c r="Z67" s="52" t="n">
        <v>20700525</v>
      </c>
      <c r="AA67" s="52" t="n">
        <v>15896650</v>
      </c>
      <c r="AB67" s="52" t="n">
        <v>18365060</v>
      </c>
      <c r="AC67" s="52" t="n">
        <v>18101350</v>
      </c>
      <c r="AD67" s="52" t="n">
        <v>22284255</v>
      </c>
      <c r="AE67" s="52" t="n">
        <v>16773380</v>
      </c>
      <c r="AF67" s="52" t="n">
        <v>18983095</v>
      </c>
      <c r="AG67" s="52" t="n">
        <v>22473605</v>
      </c>
      <c r="AH67" s="52" t="n">
        <v>23171030</v>
      </c>
      <c r="AI67" s="52" t="n">
        <v>20705105</v>
      </c>
      <c r="AJ67" s="52" t="n">
        <v>18647830</v>
      </c>
      <c r="AK67" s="52" t="n">
        <v>20302160</v>
      </c>
      <c r="AL67" s="52" t="n">
        <v>18003390</v>
      </c>
      <c r="AM67" s="52" t="n">
        <v>17914420</v>
      </c>
      <c r="AN67" s="52" t="n">
        <v>13742900</v>
      </c>
      <c r="AO67" s="52" t="n">
        <v>19551735</v>
      </c>
      <c r="AP67" s="52" t="n">
        <v>17841105</v>
      </c>
      <c r="AQ67" s="52" t="n">
        <v>19341220</v>
      </c>
      <c r="AR67" s="52" t="n">
        <v>19396240</v>
      </c>
      <c r="AS67" s="52" t="n">
        <v>18231430</v>
      </c>
      <c r="AT67" s="52" t="n">
        <v>18876790</v>
      </c>
      <c r="AU67" s="52" t="n">
        <v>17176505</v>
      </c>
      <c r="AV67" s="52" t="n">
        <v>14526205</v>
      </c>
      <c r="AW67" s="52" t="n">
        <v>14720040</v>
      </c>
      <c r="AX67" s="52" t="n">
        <v>16049780</v>
      </c>
      <c r="AY67" s="52" t="n">
        <v>14110985</v>
      </c>
      <c r="AZ67" s="52" t="n">
        <v>14477910</v>
      </c>
      <c r="BA67" s="52" t="n">
        <v>15364920</v>
      </c>
      <c r="BB67" s="52" t="n">
        <v>13538710</v>
      </c>
      <c r="BC67" s="52" t="n">
        <v>15693055</v>
      </c>
      <c r="BD67" s="52" t="n">
        <v>15452205</v>
      </c>
      <c r="BE67" s="52" t="n">
        <v>15572905</v>
      </c>
      <c r="BF67" s="52" t="n">
        <v>13927700</v>
      </c>
      <c r="BG67" s="52" t="n">
        <v>16029980</v>
      </c>
      <c r="BH67" s="52" t="n">
        <v>14205475</v>
      </c>
      <c r="BI67" s="52" t="n">
        <v>17300340</v>
      </c>
      <c r="BJ67" s="52" t="n">
        <v>12440790</v>
      </c>
      <c r="BK67" s="52" t="n">
        <v>13669100</v>
      </c>
      <c r="BL67" s="52" t="n">
        <v>16437435</v>
      </c>
      <c r="BM67" s="52" t="n">
        <v>14214540</v>
      </c>
    </row>
    <row r="68" customFormat="false" ht="15" hidden="false" customHeight="false" outlineLevel="0" collapsed="false">
      <c r="A68" s="19" t="s">
        <v>181</v>
      </c>
      <c r="B68" s="22" t="s">
        <v>256</v>
      </c>
      <c r="C68" s="19" t="s">
        <v>257</v>
      </c>
      <c r="D68" s="52" t="n">
        <v>8</v>
      </c>
      <c r="E68" s="52" t="n">
        <v>11449380</v>
      </c>
      <c r="F68" s="52" t="n">
        <v>14979480</v>
      </c>
      <c r="G68" s="52" t="n">
        <v>16079740</v>
      </c>
      <c r="H68" s="52" t="n">
        <v>15676390</v>
      </c>
      <c r="I68" s="52" t="n">
        <v>15121370</v>
      </c>
      <c r="J68" s="52" t="n">
        <v>16792440</v>
      </c>
      <c r="K68" s="52" t="n">
        <v>22916020</v>
      </c>
      <c r="L68" s="52" t="n">
        <v>10454800</v>
      </c>
      <c r="M68" s="52" t="n">
        <v>13787580</v>
      </c>
      <c r="N68" s="52" t="n">
        <v>14579260</v>
      </c>
      <c r="O68" s="52" t="n">
        <v>16900870</v>
      </c>
      <c r="P68" s="52" t="n">
        <v>13266630</v>
      </c>
      <c r="Q68" s="52" t="n">
        <v>14427290</v>
      </c>
      <c r="R68" s="52" t="n">
        <v>12927030</v>
      </c>
      <c r="S68" s="52" t="n">
        <v>12409180</v>
      </c>
      <c r="T68" s="52" t="n">
        <v>12261740</v>
      </c>
      <c r="U68" s="52" t="n">
        <v>12324300</v>
      </c>
      <c r="V68" s="52" t="n">
        <v>14134290</v>
      </c>
      <c r="W68" s="52" t="n">
        <v>13896930</v>
      </c>
      <c r="X68" s="52" t="n">
        <v>17754130</v>
      </c>
      <c r="Y68" s="52" t="n">
        <v>13582930</v>
      </c>
      <c r="Z68" s="52" t="n">
        <v>15652610</v>
      </c>
      <c r="AA68" s="52" t="n">
        <v>15671140</v>
      </c>
      <c r="AB68" s="52" t="n">
        <v>14133710</v>
      </c>
      <c r="AC68" s="52" t="n">
        <v>15333200</v>
      </c>
      <c r="AD68" s="52" t="n">
        <v>24272490</v>
      </c>
      <c r="AE68" s="52" t="n">
        <v>8033430</v>
      </c>
      <c r="AF68" s="52" t="n">
        <v>15628628</v>
      </c>
      <c r="AG68" s="52" t="n">
        <v>12886970</v>
      </c>
      <c r="AH68" s="52" t="n">
        <v>13041400</v>
      </c>
      <c r="AI68" s="52" t="n">
        <v>13741950</v>
      </c>
      <c r="AJ68" s="52" t="n">
        <v>12886480</v>
      </c>
      <c r="AK68" s="52" t="n">
        <v>12039630</v>
      </c>
      <c r="AL68" s="52" t="n">
        <v>11906750</v>
      </c>
      <c r="AM68" s="52" t="n">
        <v>13087350</v>
      </c>
      <c r="AN68" s="52" t="n">
        <v>13233040</v>
      </c>
      <c r="AO68" s="52" t="n">
        <v>13201570</v>
      </c>
      <c r="AP68" s="52" t="n">
        <v>10248500</v>
      </c>
      <c r="AQ68" s="52" t="n">
        <v>10632860</v>
      </c>
      <c r="AR68" s="52" t="n">
        <v>10972530</v>
      </c>
      <c r="AS68" s="52" t="n">
        <v>10084200</v>
      </c>
      <c r="AT68" s="52" t="n">
        <v>11970960</v>
      </c>
      <c r="AU68" s="52" t="n">
        <v>9700040</v>
      </c>
      <c r="AV68" s="52" t="n">
        <v>10749560</v>
      </c>
      <c r="AW68" s="52" t="n">
        <v>9170650</v>
      </c>
      <c r="AX68" s="52" t="n">
        <v>11821510</v>
      </c>
      <c r="AY68" s="52" t="n">
        <v>8720860</v>
      </c>
      <c r="AZ68" s="52" t="n">
        <v>10065140</v>
      </c>
      <c r="BA68" s="52" t="n">
        <v>8581310</v>
      </c>
      <c r="BB68" s="52" t="n">
        <v>10449400</v>
      </c>
      <c r="BC68" s="52" t="n">
        <v>6470340</v>
      </c>
      <c r="BD68" s="52" t="n">
        <v>9676610</v>
      </c>
      <c r="BE68" s="52" t="n">
        <v>11657110</v>
      </c>
      <c r="BF68" s="52" t="n">
        <v>7413860</v>
      </c>
      <c r="BG68" s="52" t="n">
        <v>11068150</v>
      </c>
      <c r="BH68" s="52" t="n">
        <v>8725560</v>
      </c>
      <c r="BI68" s="52" t="n">
        <v>8611190</v>
      </c>
      <c r="BJ68" s="52" t="n">
        <v>11235190</v>
      </c>
      <c r="BK68" s="52" t="n">
        <v>10351660</v>
      </c>
      <c r="BL68" s="52" t="n">
        <v>10711510</v>
      </c>
      <c r="BM68" s="52" t="n">
        <v>10003270</v>
      </c>
    </row>
    <row r="69" customFormat="false" ht="15" hidden="false" customHeight="false" outlineLevel="0" collapsed="false">
      <c r="A69" s="19" t="s">
        <v>181</v>
      </c>
      <c r="B69" s="22" t="s">
        <v>391</v>
      </c>
      <c r="C69" s="19" t="s">
        <v>392</v>
      </c>
      <c r="D69" s="52" t="n">
        <v>0</v>
      </c>
      <c r="E69" s="52" t="n">
        <v>1355821</v>
      </c>
      <c r="F69" s="52" t="n">
        <v>820725</v>
      </c>
      <c r="G69" s="52" t="n">
        <v>655382</v>
      </c>
      <c r="H69" s="52" t="n">
        <v>1320409</v>
      </c>
      <c r="I69" s="52" t="n">
        <v>1375299</v>
      </c>
      <c r="J69" s="52" t="n">
        <v>757287</v>
      </c>
      <c r="K69" s="52" t="n">
        <v>1289122</v>
      </c>
      <c r="L69" s="52" t="n">
        <v>585500</v>
      </c>
      <c r="M69" s="52" t="n">
        <v>1051990</v>
      </c>
      <c r="N69" s="52" t="n">
        <v>0</v>
      </c>
      <c r="O69" s="52" t="n">
        <v>0</v>
      </c>
      <c r="P69" s="52" t="n">
        <v>0</v>
      </c>
      <c r="Q69" s="52" t="n">
        <v>0</v>
      </c>
      <c r="R69" s="52" t="n">
        <v>0</v>
      </c>
      <c r="S69" s="52" t="n">
        <v>0</v>
      </c>
      <c r="T69" s="52" t="n">
        <v>0</v>
      </c>
      <c r="U69" s="52" t="n">
        <v>0</v>
      </c>
      <c r="V69" s="52" t="n">
        <v>0</v>
      </c>
      <c r="W69" s="52" t="n">
        <v>0</v>
      </c>
      <c r="X69" s="52" t="n">
        <v>0</v>
      </c>
      <c r="Y69" s="52" t="n">
        <v>0</v>
      </c>
      <c r="Z69" s="52" t="n">
        <v>0</v>
      </c>
      <c r="AA69" s="52" t="n">
        <v>0</v>
      </c>
      <c r="AB69" s="52" t="n">
        <v>0</v>
      </c>
      <c r="AC69" s="52" t="n">
        <v>0</v>
      </c>
      <c r="AD69" s="52" t="n">
        <v>0</v>
      </c>
      <c r="AE69" s="52" t="n">
        <v>0</v>
      </c>
      <c r="AF69" s="52" t="n">
        <v>0</v>
      </c>
      <c r="AG69" s="52" t="n">
        <v>0</v>
      </c>
      <c r="AH69" s="52" t="n">
        <v>0</v>
      </c>
      <c r="AI69" s="52" t="n">
        <v>0</v>
      </c>
      <c r="AJ69" s="52" t="n">
        <v>0</v>
      </c>
      <c r="AK69" s="52" t="n">
        <v>0</v>
      </c>
      <c r="AL69" s="52" t="n">
        <v>0</v>
      </c>
      <c r="AM69" s="52" t="n">
        <v>0</v>
      </c>
      <c r="AN69" s="52" t="n">
        <v>0</v>
      </c>
      <c r="AO69" s="52" t="n">
        <v>0</v>
      </c>
      <c r="AP69" s="52" t="n">
        <v>0</v>
      </c>
      <c r="AQ69" s="52" t="n">
        <v>0</v>
      </c>
      <c r="AR69" s="52" t="n">
        <v>0</v>
      </c>
      <c r="AS69" s="52" t="n">
        <v>0</v>
      </c>
      <c r="AT69" s="52" t="n">
        <v>0</v>
      </c>
      <c r="AU69" s="52" t="n">
        <v>0</v>
      </c>
      <c r="AV69" s="52" t="n">
        <v>0</v>
      </c>
      <c r="AW69" s="52" t="n">
        <v>0</v>
      </c>
      <c r="AX69" s="52" t="n">
        <v>0</v>
      </c>
      <c r="AY69" s="52" t="n">
        <v>0</v>
      </c>
      <c r="AZ69" s="52" t="n">
        <v>0</v>
      </c>
      <c r="BA69" s="52" t="n">
        <v>0</v>
      </c>
      <c r="BB69" s="52" t="n">
        <v>0</v>
      </c>
      <c r="BC69" s="52" t="n">
        <v>0</v>
      </c>
      <c r="BD69" s="52" t="n">
        <v>0</v>
      </c>
      <c r="BE69" s="52" t="n">
        <v>0</v>
      </c>
      <c r="BF69" s="52" t="n">
        <v>0</v>
      </c>
      <c r="BG69" s="52" t="n">
        <v>0</v>
      </c>
      <c r="BH69" s="52" t="n">
        <v>0</v>
      </c>
      <c r="BI69" s="52" t="n">
        <v>0</v>
      </c>
      <c r="BJ69" s="52" t="n">
        <v>0</v>
      </c>
      <c r="BK69" s="52" t="n">
        <v>0</v>
      </c>
      <c r="BL69" s="52" t="n">
        <v>0</v>
      </c>
      <c r="BM69" s="52" t="n">
        <v>0</v>
      </c>
    </row>
    <row r="70" customFormat="false" ht="15" hidden="false" customHeight="false" outlineLevel="0" collapsed="false">
      <c r="A70" s="19" t="s">
        <v>181</v>
      </c>
      <c r="B70" s="22" t="s">
        <v>200</v>
      </c>
      <c r="C70" s="22" t="s">
        <v>63</v>
      </c>
      <c r="D70" s="52" t="n">
        <v>65</v>
      </c>
      <c r="E70" s="52" t="n">
        <v>46431880</v>
      </c>
      <c r="F70" s="52" t="n">
        <v>42800170</v>
      </c>
      <c r="G70" s="52" t="n">
        <v>45862080</v>
      </c>
      <c r="H70" s="52" t="n">
        <v>45821940</v>
      </c>
      <c r="I70" s="52" t="n">
        <v>56493850</v>
      </c>
      <c r="J70" s="52" t="n">
        <v>64006880</v>
      </c>
      <c r="K70" s="52" t="n">
        <v>105415710</v>
      </c>
      <c r="L70" s="52" t="n">
        <v>42895415</v>
      </c>
      <c r="M70" s="52" t="n">
        <v>49398660</v>
      </c>
      <c r="N70" s="52" t="n">
        <v>55859260</v>
      </c>
      <c r="O70" s="52" t="n">
        <v>52871909</v>
      </c>
      <c r="P70" s="52" t="n">
        <v>58919467</v>
      </c>
      <c r="Q70" s="52" t="n">
        <v>57149660</v>
      </c>
      <c r="R70" s="52" t="n">
        <v>54669680</v>
      </c>
      <c r="S70" s="52" t="n">
        <v>53780334</v>
      </c>
      <c r="T70" s="52" t="n">
        <v>55285580</v>
      </c>
      <c r="U70" s="52" t="n">
        <v>52363070</v>
      </c>
      <c r="V70" s="52" t="n">
        <v>61033385</v>
      </c>
      <c r="W70" s="52" t="n">
        <v>75503320</v>
      </c>
      <c r="X70" s="52" t="n">
        <v>78912680</v>
      </c>
      <c r="Y70" s="52" t="n">
        <v>61380410</v>
      </c>
      <c r="Z70" s="52" t="n">
        <v>66044910</v>
      </c>
      <c r="AA70" s="52" t="n">
        <v>62697920</v>
      </c>
      <c r="AB70" s="52" t="n">
        <v>55775610</v>
      </c>
      <c r="AC70" s="52" t="n">
        <v>67336320</v>
      </c>
      <c r="AD70" s="52" t="n">
        <v>89928730</v>
      </c>
      <c r="AE70" s="52" t="n">
        <v>58043220</v>
      </c>
      <c r="AF70" s="52" t="n">
        <v>73478780</v>
      </c>
      <c r="AG70" s="52" t="n">
        <v>72431500</v>
      </c>
      <c r="AH70" s="52" t="n">
        <v>63645110</v>
      </c>
      <c r="AI70" s="52" t="n">
        <v>72311970</v>
      </c>
      <c r="AJ70" s="52" t="n">
        <v>73958510</v>
      </c>
      <c r="AK70" s="52" t="n">
        <v>88064320</v>
      </c>
      <c r="AL70" s="52" t="n">
        <v>84264180</v>
      </c>
      <c r="AM70" s="52" t="n">
        <v>83180060</v>
      </c>
      <c r="AN70" s="52" t="n">
        <v>80959710</v>
      </c>
      <c r="AO70" s="52" t="n">
        <v>102221270</v>
      </c>
      <c r="AP70" s="52" t="n">
        <v>90859390</v>
      </c>
      <c r="AQ70" s="52" t="n">
        <v>87289310</v>
      </c>
      <c r="AR70" s="52" t="n">
        <v>96670050</v>
      </c>
      <c r="AS70" s="52" t="n">
        <v>92881370</v>
      </c>
      <c r="AT70" s="52" t="n">
        <v>104240520</v>
      </c>
      <c r="AU70" s="52" t="n">
        <v>92714760</v>
      </c>
      <c r="AV70" s="52" t="n">
        <v>93918160</v>
      </c>
      <c r="AW70" s="52" t="n">
        <v>97900925</v>
      </c>
      <c r="AX70" s="52" t="n">
        <v>104414790</v>
      </c>
      <c r="AY70" s="52" t="n">
        <v>107658770</v>
      </c>
      <c r="AZ70" s="52" t="n">
        <v>105380547</v>
      </c>
      <c r="BA70" s="52" t="n">
        <v>98562292</v>
      </c>
      <c r="BB70" s="52" t="n">
        <v>102379965</v>
      </c>
      <c r="BC70" s="52" t="n">
        <v>112831402</v>
      </c>
      <c r="BD70" s="52" t="n">
        <v>115599840</v>
      </c>
      <c r="BE70" s="52" t="n">
        <v>100939582</v>
      </c>
      <c r="BF70" s="52" t="n">
        <v>101893299</v>
      </c>
      <c r="BG70" s="52" t="n">
        <v>110700457</v>
      </c>
      <c r="BH70" s="52" t="n">
        <v>110080755</v>
      </c>
      <c r="BI70" s="52" t="n">
        <v>123063481</v>
      </c>
      <c r="BJ70" s="52" t="n">
        <v>137060403</v>
      </c>
      <c r="BK70" s="52" t="n">
        <v>115770142</v>
      </c>
      <c r="BL70" s="52" t="n">
        <v>118321302</v>
      </c>
      <c r="BM70" s="52" t="n">
        <v>108601911</v>
      </c>
    </row>
    <row r="71" customFormat="false" ht="15" hidden="false" customHeight="false" outlineLevel="0" collapsed="false">
      <c r="A71" s="19" t="s">
        <v>181</v>
      </c>
      <c r="B71" s="22" t="s">
        <v>250</v>
      </c>
      <c r="C71" s="19" t="s">
        <v>251</v>
      </c>
      <c r="D71" s="52" t="n">
        <v>11</v>
      </c>
      <c r="E71" s="52" t="n">
        <v>43415872</v>
      </c>
      <c r="F71" s="52" t="n">
        <v>9384474</v>
      </c>
      <c r="G71" s="52" t="n">
        <v>59319906</v>
      </c>
      <c r="H71" s="52" t="n">
        <v>55685518</v>
      </c>
      <c r="I71" s="52" t="n">
        <v>45604258</v>
      </c>
      <c r="J71" s="52" t="n">
        <v>47626696</v>
      </c>
      <c r="K71" s="52" t="n">
        <v>14777902</v>
      </c>
      <c r="L71" s="52" t="n">
        <v>13408158</v>
      </c>
      <c r="M71" s="52" t="n">
        <v>44057644</v>
      </c>
      <c r="N71" s="52" t="n">
        <v>49079564</v>
      </c>
      <c r="O71" s="52" t="n">
        <v>3220541</v>
      </c>
      <c r="P71" s="52" t="n">
        <v>45201802</v>
      </c>
      <c r="Q71" s="52" t="n">
        <v>55118806</v>
      </c>
      <c r="R71" s="52" t="n">
        <v>47631780</v>
      </c>
      <c r="S71" s="52" t="n">
        <v>3329454</v>
      </c>
      <c r="T71" s="52" t="n">
        <v>43143870</v>
      </c>
      <c r="U71" s="52" t="n">
        <v>52030953</v>
      </c>
      <c r="V71" s="52" t="n">
        <v>63228111</v>
      </c>
      <c r="W71" s="52" t="n">
        <v>44297324</v>
      </c>
      <c r="X71" s="52" t="n">
        <v>-101470439</v>
      </c>
      <c r="Y71" s="52" t="n">
        <v>47169390</v>
      </c>
      <c r="Z71" s="52" t="n">
        <v>46903160</v>
      </c>
      <c r="AA71" s="52" t="n">
        <v>49722226</v>
      </c>
      <c r="AB71" s="52" t="n">
        <v>-110443515</v>
      </c>
      <c r="AC71" s="52" t="n">
        <v>51340320</v>
      </c>
      <c r="AD71" s="52" t="n">
        <v>64436110</v>
      </c>
      <c r="AE71" s="52" t="n">
        <v>30029290</v>
      </c>
      <c r="AF71" s="52" t="n">
        <v>-94983740</v>
      </c>
      <c r="AG71" s="52" t="n">
        <v>55961080</v>
      </c>
      <c r="AH71" s="52" t="n">
        <v>55669720</v>
      </c>
      <c r="AI71" s="52" t="n">
        <v>62448950</v>
      </c>
      <c r="AJ71" s="52" t="n">
        <v>63150194</v>
      </c>
      <c r="AK71" s="52" t="n">
        <v>-114310159</v>
      </c>
      <c r="AL71" s="52" t="n">
        <v>72122360</v>
      </c>
      <c r="AM71" s="52" t="n">
        <v>77021030</v>
      </c>
      <c r="AN71" s="52" t="n">
        <v>78015540</v>
      </c>
      <c r="AO71" s="52" t="n">
        <v>-163301778</v>
      </c>
      <c r="AP71" s="52" t="n">
        <v>72013345</v>
      </c>
      <c r="AQ71" s="52" t="n">
        <v>71237561</v>
      </c>
      <c r="AR71" s="52" t="n">
        <v>77274070</v>
      </c>
      <c r="AS71" s="52" t="n">
        <v>-158488932</v>
      </c>
      <c r="AT71" s="52" t="n">
        <v>67322438</v>
      </c>
      <c r="AU71" s="52" t="n">
        <v>73191031</v>
      </c>
      <c r="AV71" s="52" t="n">
        <v>69947865</v>
      </c>
      <c r="AW71" s="52" t="n">
        <v>71262138</v>
      </c>
      <c r="AX71" s="52" t="n">
        <v>-139883204</v>
      </c>
      <c r="AY71" s="52" t="n">
        <v>61977534</v>
      </c>
      <c r="AZ71" s="52" t="n">
        <v>62824063</v>
      </c>
      <c r="BA71" s="52" t="n">
        <v>61119686</v>
      </c>
      <c r="BB71" s="52" t="n">
        <v>-144217196</v>
      </c>
      <c r="BC71" s="52" t="n">
        <v>72359508</v>
      </c>
      <c r="BD71" s="52" t="n">
        <v>70856853</v>
      </c>
      <c r="BE71" s="52" t="n">
        <v>65454249</v>
      </c>
      <c r="BF71" s="52" t="n">
        <v>80251927</v>
      </c>
      <c r="BG71" s="52" t="n">
        <v>-145792744</v>
      </c>
      <c r="BH71" s="52" t="n">
        <v>73976343</v>
      </c>
      <c r="BI71" s="52" t="n">
        <v>74149614</v>
      </c>
      <c r="BJ71" s="52" t="n">
        <v>63027301</v>
      </c>
      <c r="BK71" s="52" t="n">
        <v>-137556747</v>
      </c>
      <c r="BL71" s="52" t="n">
        <v>60453009</v>
      </c>
      <c r="BM71" s="52" t="n">
        <v>70117652</v>
      </c>
    </row>
    <row r="72" customFormat="false" ht="15" hidden="false" customHeight="false" outlineLevel="0" collapsed="false">
      <c r="A72" s="19" t="s">
        <v>181</v>
      </c>
      <c r="B72" s="22" t="s">
        <v>272</v>
      </c>
      <c r="C72" s="19" t="s">
        <v>273</v>
      </c>
      <c r="D72" s="52" t="n">
        <v>19</v>
      </c>
      <c r="E72" s="52" t="n">
        <v>10752610</v>
      </c>
      <c r="F72" s="52" t="n">
        <v>9204719</v>
      </c>
      <c r="G72" s="52" t="n">
        <v>9002816</v>
      </c>
      <c r="H72" s="52" t="n">
        <v>10081780</v>
      </c>
      <c r="I72" s="52" t="n">
        <v>11934826</v>
      </c>
      <c r="J72" s="52" t="n">
        <v>11082080</v>
      </c>
      <c r="K72" s="52" t="n">
        <v>10994830</v>
      </c>
      <c r="L72" s="52" t="n">
        <v>3521998</v>
      </c>
      <c r="M72" s="52" t="n">
        <v>7877766</v>
      </c>
      <c r="N72" s="52" t="n">
        <v>11624104</v>
      </c>
      <c r="O72" s="52" t="n">
        <v>9114203</v>
      </c>
      <c r="P72" s="52" t="n">
        <v>9737074</v>
      </c>
      <c r="Q72" s="52" t="n">
        <v>7809162</v>
      </c>
      <c r="R72" s="52" t="n">
        <v>10007304</v>
      </c>
      <c r="S72" s="52" t="n">
        <v>8661769</v>
      </c>
      <c r="T72" s="52" t="n">
        <v>9801036</v>
      </c>
      <c r="U72" s="52" t="n">
        <v>7531472</v>
      </c>
      <c r="V72" s="52" t="n">
        <v>9658520</v>
      </c>
      <c r="W72" s="52" t="n">
        <v>10035257</v>
      </c>
      <c r="X72" s="52" t="n">
        <v>7868876</v>
      </c>
      <c r="Y72" s="52" t="n">
        <v>8202696</v>
      </c>
      <c r="Z72" s="52" t="n">
        <v>7972524</v>
      </c>
      <c r="AA72" s="52" t="n">
        <v>7429310</v>
      </c>
      <c r="AB72" s="52" t="n">
        <v>7287778</v>
      </c>
      <c r="AC72" s="52" t="n">
        <v>9246218</v>
      </c>
      <c r="AD72" s="52" t="n">
        <v>11192334</v>
      </c>
      <c r="AE72" s="52" t="n">
        <v>3063006</v>
      </c>
      <c r="AF72" s="52" t="n">
        <v>8794130</v>
      </c>
      <c r="AG72" s="52" t="n">
        <v>8801336</v>
      </c>
      <c r="AH72" s="52" t="n">
        <v>8340340</v>
      </c>
      <c r="AI72" s="52" t="n">
        <v>10586644</v>
      </c>
      <c r="AJ72" s="52" t="n">
        <v>10416230</v>
      </c>
      <c r="AK72" s="52" t="n">
        <v>9576652</v>
      </c>
      <c r="AL72" s="52" t="n">
        <v>7657034</v>
      </c>
      <c r="AM72" s="52" t="n">
        <v>9141770</v>
      </c>
      <c r="AN72" s="52" t="n">
        <v>8851156</v>
      </c>
      <c r="AO72" s="52" t="n">
        <v>12053114</v>
      </c>
      <c r="AP72" s="52" t="n">
        <v>10197566</v>
      </c>
      <c r="AQ72" s="52" t="n">
        <v>7808590</v>
      </c>
      <c r="AR72" s="52" t="n">
        <v>10057910</v>
      </c>
      <c r="AS72" s="52" t="n">
        <v>8653294</v>
      </c>
      <c r="AT72" s="52" t="n">
        <v>12017282</v>
      </c>
      <c r="AU72" s="52" t="n">
        <v>9273028</v>
      </c>
      <c r="AV72" s="52" t="n">
        <v>10709366</v>
      </c>
      <c r="AW72" s="52" t="n">
        <v>10250410</v>
      </c>
      <c r="AX72" s="52" t="n">
        <v>9281072</v>
      </c>
      <c r="AY72" s="52" t="n">
        <v>9979846</v>
      </c>
      <c r="AZ72" s="52" t="n">
        <v>11802944</v>
      </c>
      <c r="BA72" s="52" t="n">
        <v>10330384</v>
      </c>
      <c r="BB72" s="52" t="n">
        <v>9170560</v>
      </c>
      <c r="BC72" s="52" t="n">
        <v>10729362</v>
      </c>
      <c r="BD72" s="52" t="n">
        <v>9278944</v>
      </c>
      <c r="BE72" s="52" t="n">
        <v>9215936</v>
      </c>
      <c r="BF72" s="52" t="n">
        <v>9901456</v>
      </c>
      <c r="BG72" s="52" t="n">
        <v>9533534</v>
      </c>
      <c r="BH72" s="52" t="n">
        <v>8788016</v>
      </c>
      <c r="BI72" s="52" t="n">
        <v>10245600</v>
      </c>
      <c r="BJ72" s="52" t="n">
        <v>5425152</v>
      </c>
      <c r="BK72" s="52" t="n">
        <v>8879086</v>
      </c>
      <c r="BL72" s="52" t="n">
        <v>9442368</v>
      </c>
      <c r="BM72" s="52" t="n">
        <v>7670232</v>
      </c>
    </row>
    <row r="73" customFormat="false" ht="15" hidden="false" customHeight="false" outlineLevel="0" collapsed="false">
      <c r="A73" s="19" t="s">
        <v>181</v>
      </c>
      <c r="B73" s="22" t="s">
        <v>393</v>
      </c>
      <c r="C73" s="19" t="s">
        <v>394</v>
      </c>
      <c r="D73" s="52" t="n">
        <v>0</v>
      </c>
      <c r="E73" s="52" t="n">
        <v>15889580</v>
      </c>
      <c r="F73" s="52" t="n">
        <v>14812890</v>
      </c>
      <c r="G73" s="52" t="n">
        <v>17071150</v>
      </c>
      <c r="H73" s="52" t="n">
        <v>16613590</v>
      </c>
      <c r="I73" s="52" t="n">
        <v>15576550</v>
      </c>
      <c r="J73" s="52" t="n">
        <v>18889670</v>
      </c>
      <c r="K73" s="52" t="n">
        <v>26827450</v>
      </c>
      <c r="L73" s="52" t="n">
        <v>10080620</v>
      </c>
      <c r="M73" s="52" t="n">
        <v>17999020</v>
      </c>
      <c r="N73" s="52" t="n">
        <v>16925600</v>
      </c>
      <c r="O73" s="52" t="n">
        <v>21954590</v>
      </c>
      <c r="P73" s="52" t="n">
        <v>17033300</v>
      </c>
      <c r="Q73" s="52" t="n">
        <v>16120880</v>
      </c>
      <c r="R73" s="52" t="n">
        <v>16745690</v>
      </c>
      <c r="S73" s="52" t="n">
        <v>15974370</v>
      </c>
      <c r="T73" s="52" t="n">
        <v>19947480</v>
      </c>
      <c r="U73" s="52" t="n">
        <v>20665490</v>
      </c>
      <c r="V73" s="52" t="n">
        <v>15927920</v>
      </c>
      <c r="W73" s="52" t="n">
        <v>16624540</v>
      </c>
      <c r="X73" s="52" t="n">
        <v>19002540</v>
      </c>
      <c r="Y73" s="52" t="n">
        <v>23038280</v>
      </c>
      <c r="Z73" s="52" t="n">
        <v>17561040</v>
      </c>
      <c r="AA73" s="52" t="n">
        <v>19748260</v>
      </c>
      <c r="AB73" s="52" t="n">
        <v>16384910</v>
      </c>
      <c r="AC73" s="52" t="n">
        <v>19947700</v>
      </c>
      <c r="AD73" s="52" t="n">
        <v>24290310</v>
      </c>
      <c r="AE73" s="52" t="n">
        <v>9512300</v>
      </c>
      <c r="AF73" s="52" t="n">
        <v>19241980</v>
      </c>
      <c r="AG73" s="52" t="n">
        <v>19561070</v>
      </c>
      <c r="AH73" s="52" t="n">
        <v>18163570</v>
      </c>
      <c r="AI73" s="52" t="n">
        <v>16092000</v>
      </c>
      <c r="AJ73" s="52" t="n">
        <v>19484990</v>
      </c>
      <c r="AK73" s="52" t="n">
        <v>18224390</v>
      </c>
      <c r="AL73" s="52" t="n">
        <v>16295440</v>
      </c>
      <c r="AM73" s="52" t="n">
        <v>14584720</v>
      </c>
      <c r="AN73" s="52" t="n">
        <v>17242640</v>
      </c>
      <c r="AO73" s="52" t="n">
        <v>19631030</v>
      </c>
      <c r="AP73" s="52" t="n">
        <v>15408920</v>
      </c>
      <c r="AQ73" s="52" t="n">
        <v>17328860</v>
      </c>
      <c r="AR73" s="52" t="n">
        <v>16817220</v>
      </c>
      <c r="AS73" s="52" t="n">
        <v>14444530</v>
      </c>
      <c r="AT73" s="52" t="n">
        <v>13190350</v>
      </c>
      <c r="AU73" s="52" t="n">
        <v>12793290</v>
      </c>
      <c r="AV73" s="52" t="n">
        <v>13376640</v>
      </c>
      <c r="AW73" s="52" t="n">
        <v>13804020</v>
      </c>
      <c r="AX73" s="52" t="n">
        <v>14196480</v>
      </c>
      <c r="AY73" s="52" t="n">
        <v>16624400</v>
      </c>
      <c r="AZ73" s="52" t="n">
        <v>13559790</v>
      </c>
      <c r="BA73" s="52" t="n">
        <v>15246650</v>
      </c>
      <c r="BB73" s="52" t="n">
        <v>17321270</v>
      </c>
      <c r="BC73" s="52" t="n">
        <v>14577370</v>
      </c>
      <c r="BD73" s="52" t="n">
        <v>14901870</v>
      </c>
      <c r="BE73" s="52" t="n">
        <v>14019050</v>
      </c>
      <c r="BF73" s="52" t="n">
        <v>16856040</v>
      </c>
      <c r="BG73" s="52" t="n">
        <v>16080070</v>
      </c>
      <c r="BH73" s="52" t="n">
        <v>22720770</v>
      </c>
      <c r="BI73" s="52" t="n">
        <v>709930</v>
      </c>
      <c r="BJ73" s="52" t="n">
        <v>0</v>
      </c>
      <c r="BK73" s="52" t="n">
        <v>0</v>
      </c>
      <c r="BL73" s="52" t="n">
        <v>0</v>
      </c>
      <c r="BM73" s="52" t="n">
        <v>0</v>
      </c>
    </row>
    <row r="74" customFormat="false" ht="15" hidden="false" customHeight="false" outlineLevel="0" collapsed="false">
      <c r="A74" s="19" t="s">
        <v>181</v>
      </c>
      <c r="B74" s="22" t="s">
        <v>266</v>
      </c>
      <c r="C74" s="19" t="s">
        <v>267</v>
      </c>
      <c r="D74" s="52" t="n">
        <v>7</v>
      </c>
      <c r="E74" s="52" t="n">
        <v>10772244</v>
      </c>
      <c r="F74" s="52" t="n">
        <v>8278225</v>
      </c>
      <c r="G74" s="52" t="n">
        <v>6813065</v>
      </c>
      <c r="H74" s="52" t="n">
        <v>9648667</v>
      </c>
      <c r="I74" s="52" t="n">
        <v>9610250</v>
      </c>
      <c r="J74" s="52" t="n">
        <v>8594298</v>
      </c>
      <c r="K74" s="52" t="n">
        <v>10684448</v>
      </c>
      <c r="L74" s="52" t="n">
        <v>7740002</v>
      </c>
      <c r="M74" s="52" t="n">
        <v>6484554</v>
      </c>
      <c r="N74" s="52" t="n">
        <v>9287560</v>
      </c>
      <c r="O74" s="52" t="n">
        <v>7128150</v>
      </c>
      <c r="P74" s="52" t="n">
        <v>8459998</v>
      </c>
      <c r="Q74" s="52" t="n">
        <v>6857942</v>
      </c>
      <c r="R74" s="52" t="n">
        <v>10119052</v>
      </c>
      <c r="S74" s="52" t="n">
        <v>10194980</v>
      </c>
      <c r="T74" s="52" t="n">
        <v>10005831</v>
      </c>
      <c r="U74" s="52" t="n">
        <v>10943146</v>
      </c>
      <c r="V74" s="52" t="n">
        <v>7653275</v>
      </c>
      <c r="W74" s="52" t="n">
        <v>11941534</v>
      </c>
      <c r="X74" s="52" t="n">
        <v>6631543</v>
      </c>
      <c r="Y74" s="52" t="n">
        <v>8142280</v>
      </c>
      <c r="Z74" s="52" t="n">
        <v>7389232</v>
      </c>
      <c r="AA74" s="52" t="n">
        <v>7349171</v>
      </c>
      <c r="AB74" s="52" t="n">
        <v>5384815</v>
      </c>
      <c r="AC74" s="52" t="n">
        <v>6724439</v>
      </c>
      <c r="AD74" s="52" t="n">
        <v>8081152</v>
      </c>
      <c r="AE74" s="52" t="n">
        <v>8371517</v>
      </c>
      <c r="AF74" s="52" t="n">
        <v>11524890</v>
      </c>
      <c r="AG74" s="52" t="n">
        <v>8851543</v>
      </c>
      <c r="AH74" s="52" t="n">
        <v>6391846</v>
      </c>
      <c r="AI74" s="52" t="n">
        <v>6313256</v>
      </c>
      <c r="AJ74" s="52" t="n">
        <v>6195270</v>
      </c>
      <c r="AK74" s="52" t="n">
        <v>8122960</v>
      </c>
      <c r="AL74" s="52" t="n">
        <v>8270077</v>
      </c>
      <c r="AM74" s="52" t="n">
        <v>8421785</v>
      </c>
      <c r="AN74" s="52" t="n">
        <v>8063232</v>
      </c>
      <c r="AO74" s="52" t="n">
        <v>10613858</v>
      </c>
      <c r="AP74" s="52" t="n">
        <v>12295746</v>
      </c>
      <c r="AQ74" s="52" t="n">
        <v>8331129</v>
      </c>
      <c r="AR74" s="52" t="n">
        <v>9077143</v>
      </c>
      <c r="AS74" s="52" t="n">
        <v>7830238</v>
      </c>
      <c r="AT74" s="52" t="n">
        <v>8283410</v>
      </c>
      <c r="AU74" s="52" t="n">
        <v>6531822</v>
      </c>
      <c r="AV74" s="52" t="n">
        <v>7895095</v>
      </c>
      <c r="AW74" s="52" t="n">
        <v>8732942</v>
      </c>
      <c r="AX74" s="52" t="n">
        <v>10568372</v>
      </c>
      <c r="AY74" s="52" t="n">
        <v>6714549</v>
      </c>
      <c r="AZ74" s="52" t="n">
        <v>6776430</v>
      </c>
      <c r="BA74" s="52" t="n">
        <v>7443591</v>
      </c>
      <c r="BB74" s="52" t="n">
        <v>10462509</v>
      </c>
      <c r="BC74" s="52" t="n">
        <v>7513732</v>
      </c>
      <c r="BD74" s="52" t="n">
        <v>7866948</v>
      </c>
      <c r="BE74" s="52" t="n">
        <v>9768375</v>
      </c>
      <c r="BF74" s="52" t="n">
        <v>7109514</v>
      </c>
      <c r="BG74" s="52" t="n">
        <v>7467893</v>
      </c>
      <c r="BH74" s="52" t="n">
        <v>9115337</v>
      </c>
      <c r="BI74" s="52" t="n">
        <v>8345697</v>
      </c>
      <c r="BJ74" s="52" t="n">
        <v>7252445</v>
      </c>
      <c r="BK74" s="52" t="n">
        <v>9210026</v>
      </c>
      <c r="BL74" s="52" t="n">
        <v>11846038</v>
      </c>
      <c r="BM74" s="52" t="n">
        <v>7433052</v>
      </c>
    </row>
    <row r="75" customFormat="false" ht="15" hidden="false" customHeight="false" outlineLevel="0" collapsed="false">
      <c r="A75" s="19" t="s">
        <v>181</v>
      </c>
      <c r="B75" s="22" t="s">
        <v>274</v>
      </c>
      <c r="C75" s="19" t="s">
        <v>275</v>
      </c>
      <c r="D75" s="52" t="n">
        <v>26</v>
      </c>
      <c r="E75" s="52" t="n">
        <v>16293038</v>
      </c>
      <c r="F75" s="52" t="n">
        <v>15061543</v>
      </c>
      <c r="G75" s="52" t="n">
        <v>16105113</v>
      </c>
      <c r="H75" s="52" t="n">
        <v>16207960</v>
      </c>
      <c r="I75" s="52" t="n">
        <v>16237486</v>
      </c>
      <c r="J75" s="52" t="n">
        <v>15888899</v>
      </c>
      <c r="K75" s="52" t="n">
        <v>25889462</v>
      </c>
      <c r="L75" s="52" t="n">
        <v>7690293</v>
      </c>
      <c r="M75" s="52" t="n">
        <v>13546086</v>
      </c>
      <c r="N75" s="52" t="n">
        <v>13115253</v>
      </c>
      <c r="O75" s="52" t="n">
        <v>12299289</v>
      </c>
      <c r="P75" s="52" t="n">
        <v>14454706</v>
      </c>
      <c r="Q75" s="52" t="n">
        <v>11360621</v>
      </c>
      <c r="R75" s="52" t="n">
        <v>12100284</v>
      </c>
      <c r="S75" s="52" t="n">
        <v>11479451</v>
      </c>
      <c r="T75" s="52" t="n">
        <v>12618381</v>
      </c>
      <c r="U75" s="52" t="n">
        <v>12721411</v>
      </c>
      <c r="V75" s="52" t="n">
        <v>13077721</v>
      </c>
      <c r="W75" s="52" t="n">
        <v>14999563</v>
      </c>
      <c r="X75" s="52" t="n">
        <v>12725565</v>
      </c>
      <c r="Y75" s="52" t="n">
        <v>11036490</v>
      </c>
      <c r="Z75" s="52" t="n">
        <v>10982977</v>
      </c>
      <c r="AA75" s="52" t="n">
        <v>10269180</v>
      </c>
      <c r="AB75" s="52" t="n">
        <v>11472233</v>
      </c>
      <c r="AC75" s="52" t="n">
        <v>9759296</v>
      </c>
      <c r="AD75" s="52" t="n">
        <v>11574268</v>
      </c>
      <c r="AE75" s="52" t="n">
        <v>7590230</v>
      </c>
      <c r="AF75" s="52" t="n">
        <v>9430637</v>
      </c>
      <c r="AG75" s="52" t="n">
        <v>9190704</v>
      </c>
      <c r="AH75" s="52" t="n">
        <v>9689315</v>
      </c>
      <c r="AI75" s="52" t="n">
        <v>9961514</v>
      </c>
      <c r="AJ75" s="52" t="n">
        <v>8999730</v>
      </c>
      <c r="AK75" s="52" t="n">
        <v>10185130</v>
      </c>
      <c r="AL75" s="52" t="n">
        <v>8811747</v>
      </c>
      <c r="AM75" s="52" t="n">
        <v>7811218</v>
      </c>
      <c r="AN75" s="52" t="n">
        <v>8187429</v>
      </c>
      <c r="AO75" s="52" t="n">
        <v>8989813</v>
      </c>
      <c r="AP75" s="52" t="n">
        <v>8563359</v>
      </c>
      <c r="AQ75" s="52" t="n">
        <v>6825160</v>
      </c>
      <c r="AR75" s="52" t="n">
        <v>9231897</v>
      </c>
      <c r="AS75" s="52" t="n">
        <v>8719899</v>
      </c>
      <c r="AT75" s="52" t="n">
        <v>9794598</v>
      </c>
      <c r="AU75" s="52" t="n">
        <v>8645531</v>
      </c>
      <c r="AV75" s="52" t="n">
        <v>8440599</v>
      </c>
      <c r="AW75" s="52" t="n">
        <v>7920415</v>
      </c>
      <c r="AX75" s="52" t="n">
        <v>8232009</v>
      </c>
      <c r="AY75" s="52" t="n">
        <v>8712548</v>
      </c>
      <c r="AZ75" s="52" t="n">
        <v>7851190</v>
      </c>
      <c r="BA75" s="52" t="n">
        <v>7291391</v>
      </c>
      <c r="BB75" s="52" t="n">
        <v>7418075</v>
      </c>
      <c r="BC75" s="52" t="n">
        <v>8668481</v>
      </c>
      <c r="BD75" s="52" t="n">
        <v>8314057</v>
      </c>
      <c r="BE75" s="52" t="n">
        <v>5959141</v>
      </c>
      <c r="BF75" s="52" t="n">
        <v>6975747</v>
      </c>
      <c r="BG75" s="52" t="n">
        <v>8341642</v>
      </c>
      <c r="BH75" s="52" t="n">
        <v>7043279</v>
      </c>
      <c r="BI75" s="52" t="n">
        <v>7148794</v>
      </c>
      <c r="BJ75" s="52" t="n">
        <v>9246785</v>
      </c>
      <c r="BK75" s="52" t="n">
        <v>6903246</v>
      </c>
      <c r="BL75" s="52" t="n">
        <v>8051121</v>
      </c>
      <c r="BM75" s="52" t="n">
        <v>6526171</v>
      </c>
    </row>
    <row r="76" customFormat="false" ht="15" hidden="false" customHeight="false" outlineLevel="0" collapsed="false">
      <c r="A76" s="19" t="s">
        <v>181</v>
      </c>
      <c r="B76" s="22" t="s">
        <v>396</v>
      </c>
      <c r="C76" s="19" t="s">
        <v>397</v>
      </c>
      <c r="D76" s="52" t="n">
        <v>0</v>
      </c>
      <c r="E76" s="52" t="n">
        <v>498850</v>
      </c>
      <c r="F76" s="52" t="n">
        <v>787166</v>
      </c>
      <c r="G76" s="52" t="n">
        <v>500460</v>
      </c>
      <c r="H76" s="52" t="n">
        <v>1058586</v>
      </c>
      <c r="I76" s="52" t="n">
        <v>274050</v>
      </c>
      <c r="J76" s="52" t="n">
        <v>1023849</v>
      </c>
      <c r="K76" s="52" t="n">
        <v>2468800</v>
      </c>
      <c r="L76" s="52" t="n">
        <v>315990</v>
      </c>
      <c r="M76" s="52" t="n">
        <v>74670</v>
      </c>
      <c r="N76" s="52" t="n">
        <v>293040</v>
      </c>
      <c r="O76" s="52" t="n">
        <v>201250</v>
      </c>
      <c r="P76" s="52" t="n">
        <v>512650</v>
      </c>
      <c r="Q76" s="52" t="n">
        <v>615420</v>
      </c>
      <c r="R76" s="52" t="n">
        <v>102960</v>
      </c>
      <c r="S76" s="52" t="n">
        <v>0</v>
      </c>
      <c r="T76" s="52" t="n">
        <v>0</v>
      </c>
      <c r="U76" s="52" t="n">
        <v>0</v>
      </c>
      <c r="V76" s="52" t="n">
        <v>0</v>
      </c>
      <c r="W76" s="52" t="n">
        <v>0</v>
      </c>
      <c r="X76" s="52" t="n">
        <v>0</v>
      </c>
      <c r="Y76" s="52" t="n">
        <v>0</v>
      </c>
      <c r="Z76" s="52" t="n">
        <v>0</v>
      </c>
      <c r="AA76" s="52" t="n">
        <v>0</v>
      </c>
      <c r="AB76" s="52" t="n">
        <v>0</v>
      </c>
      <c r="AC76" s="52" t="n">
        <v>0</v>
      </c>
      <c r="AD76" s="52" t="n">
        <v>0</v>
      </c>
      <c r="AE76" s="52" t="n">
        <v>0</v>
      </c>
      <c r="AF76" s="52" t="n">
        <v>0</v>
      </c>
      <c r="AG76" s="52" t="n">
        <v>0</v>
      </c>
      <c r="AH76" s="52" t="n">
        <v>0</v>
      </c>
      <c r="AI76" s="52" t="n">
        <v>0</v>
      </c>
      <c r="AJ76" s="52" t="n">
        <v>0</v>
      </c>
      <c r="AK76" s="52" t="n">
        <v>0</v>
      </c>
      <c r="AL76" s="52" t="n">
        <v>0</v>
      </c>
      <c r="AM76" s="52" t="n">
        <v>0</v>
      </c>
      <c r="AN76" s="52" t="n">
        <v>0</v>
      </c>
      <c r="AO76" s="52" t="n">
        <v>0</v>
      </c>
      <c r="AP76" s="52" t="n">
        <v>0</v>
      </c>
      <c r="AQ76" s="52" t="n">
        <v>0</v>
      </c>
      <c r="AR76" s="52" t="n">
        <v>0</v>
      </c>
      <c r="AS76" s="52" t="n">
        <v>0</v>
      </c>
      <c r="AT76" s="52" t="n">
        <v>0</v>
      </c>
      <c r="AU76" s="52" t="n">
        <v>0</v>
      </c>
      <c r="AV76" s="52" t="n">
        <v>0</v>
      </c>
      <c r="AW76" s="52" t="n">
        <v>0</v>
      </c>
      <c r="AX76" s="52" t="n">
        <v>0</v>
      </c>
      <c r="AY76" s="52" t="n">
        <v>0</v>
      </c>
      <c r="AZ76" s="52" t="n">
        <v>0</v>
      </c>
      <c r="BA76" s="52" t="n">
        <v>0</v>
      </c>
      <c r="BB76" s="52" t="n">
        <v>0</v>
      </c>
      <c r="BC76" s="52" t="n">
        <v>0</v>
      </c>
      <c r="BD76" s="52" t="n">
        <v>0</v>
      </c>
      <c r="BE76" s="52" t="n">
        <v>0</v>
      </c>
      <c r="BF76" s="52" t="n">
        <v>0</v>
      </c>
      <c r="BG76" s="52" t="n">
        <v>0</v>
      </c>
      <c r="BH76" s="52" t="n">
        <v>0</v>
      </c>
      <c r="BI76" s="52" t="n">
        <v>0</v>
      </c>
      <c r="BJ76" s="52" t="n">
        <v>0</v>
      </c>
      <c r="BK76" s="52" t="n">
        <v>0</v>
      </c>
      <c r="BL76" s="52" t="n">
        <v>0</v>
      </c>
      <c r="BM76" s="52" t="n">
        <v>0</v>
      </c>
    </row>
    <row r="77" customFormat="false" ht="15" hidden="false" customHeight="false" outlineLevel="0" collapsed="false">
      <c r="A77" s="19" t="s">
        <v>181</v>
      </c>
      <c r="B77" s="22" t="s">
        <v>215</v>
      </c>
      <c r="C77" s="19" t="s">
        <v>216</v>
      </c>
      <c r="D77" s="52" t="n">
        <v>120</v>
      </c>
      <c r="E77" s="52" t="n">
        <v>86581549</v>
      </c>
      <c r="F77" s="52" t="n">
        <v>83373870</v>
      </c>
      <c r="G77" s="52" t="n">
        <v>89536450</v>
      </c>
      <c r="H77" s="52" t="n">
        <v>85334661</v>
      </c>
      <c r="I77" s="52" t="n">
        <v>77284921</v>
      </c>
      <c r="J77" s="52" t="n">
        <v>80231530</v>
      </c>
      <c r="K77" s="52" t="n">
        <v>89574849</v>
      </c>
      <c r="L77" s="52" t="n">
        <v>36917605</v>
      </c>
      <c r="M77" s="52" t="n">
        <v>60256370</v>
      </c>
      <c r="N77" s="52" t="n">
        <v>64112417</v>
      </c>
      <c r="O77" s="52" t="n">
        <v>59030628</v>
      </c>
      <c r="P77" s="52" t="n">
        <v>58561866</v>
      </c>
      <c r="Q77" s="52" t="n">
        <v>59047629</v>
      </c>
      <c r="R77" s="52" t="n">
        <v>52044449</v>
      </c>
      <c r="S77" s="52" t="n">
        <v>55007626</v>
      </c>
      <c r="T77" s="52" t="n">
        <v>50822655</v>
      </c>
      <c r="U77" s="52" t="n">
        <v>51552044</v>
      </c>
      <c r="V77" s="52" t="n">
        <v>51527919</v>
      </c>
      <c r="W77" s="52" t="n">
        <v>47423433</v>
      </c>
      <c r="X77" s="52" t="n">
        <v>50380820</v>
      </c>
      <c r="Y77" s="52" t="n">
        <v>50022560</v>
      </c>
      <c r="Z77" s="52" t="n">
        <v>46684763</v>
      </c>
      <c r="AA77" s="52" t="n">
        <v>45019885</v>
      </c>
      <c r="AB77" s="52" t="n">
        <v>46541277</v>
      </c>
      <c r="AC77" s="52" t="n">
        <v>52315581</v>
      </c>
      <c r="AD77" s="52" t="n">
        <v>61989445</v>
      </c>
      <c r="AE77" s="52" t="n">
        <v>45519125</v>
      </c>
      <c r="AF77" s="52" t="n">
        <v>55352291</v>
      </c>
      <c r="AG77" s="52" t="n">
        <v>57006396</v>
      </c>
      <c r="AH77" s="52" t="n">
        <v>55585971</v>
      </c>
      <c r="AI77" s="52" t="n">
        <v>60756492</v>
      </c>
      <c r="AJ77" s="52" t="n">
        <v>73230143</v>
      </c>
      <c r="AK77" s="52" t="n">
        <v>68767316</v>
      </c>
      <c r="AL77" s="52" t="n">
        <v>65621888</v>
      </c>
      <c r="AM77" s="52" t="n">
        <v>84667395</v>
      </c>
      <c r="AN77" s="52" t="n">
        <v>79836111</v>
      </c>
      <c r="AO77" s="52" t="n">
        <v>83111007</v>
      </c>
      <c r="AP77" s="52" t="n">
        <v>80611478</v>
      </c>
      <c r="AQ77" s="52" t="n">
        <v>85352449</v>
      </c>
      <c r="AR77" s="52" t="n">
        <v>84802548</v>
      </c>
      <c r="AS77" s="52" t="n">
        <v>91685547</v>
      </c>
      <c r="AT77" s="52" t="n">
        <v>94793383</v>
      </c>
      <c r="AU77" s="52" t="n">
        <v>83044765</v>
      </c>
      <c r="AV77" s="52" t="n">
        <v>94315899</v>
      </c>
      <c r="AW77" s="52" t="n">
        <v>76928951</v>
      </c>
      <c r="AX77" s="52" t="n">
        <v>81231294</v>
      </c>
      <c r="AY77" s="52" t="n">
        <v>68082380</v>
      </c>
      <c r="AZ77" s="52" t="n">
        <v>74708980</v>
      </c>
      <c r="BA77" s="52" t="n">
        <v>67187595</v>
      </c>
      <c r="BB77" s="52" t="n">
        <v>71899971</v>
      </c>
      <c r="BC77" s="52" t="n">
        <v>81832794</v>
      </c>
      <c r="BD77" s="52" t="n">
        <v>81278478</v>
      </c>
      <c r="BE77" s="52" t="n">
        <v>62994038</v>
      </c>
      <c r="BF77" s="52" t="n">
        <v>68726298</v>
      </c>
      <c r="BG77" s="52" t="n">
        <v>59894494</v>
      </c>
      <c r="BH77" s="52" t="n">
        <v>63239690</v>
      </c>
      <c r="BI77" s="52" t="n">
        <v>62653637</v>
      </c>
      <c r="BJ77" s="52" t="n">
        <v>62492223</v>
      </c>
      <c r="BK77" s="52" t="n">
        <v>53933535</v>
      </c>
      <c r="BL77" s="52" t="n">
        <v>57722218</v>
      </c>
      <c r="BM77" s="52" t="n">
        <v>55469374</v>
      </c>
    </row>
    <row r="78" customFormat="false" ht="15" hidden="false" customHeight="false" outlineLevel="0" collapsed="false">
      <c r="A78" s="19" t="s">
        <v>181</v>
      </c>
      <c r="B78" s="22" t="s">
        <v>225</v>
      </c>
      <c r="C78" s="19" t="s">
        <v>64</v>
      </c>
      <c r="D78" s="52" t="n">
        <v>44</v>
      </c>
      <c r="E78" s="52" t="n">
        <v>65851125</v>
      </c>
      <c r="F78" s="52" t="n">
        <v>32021230</v>
      </c>
      <c r="G78" s="52" t="n">
        <v>65516390</v>
      </c>
      <c r="H78" s="52" t="n">
        <v>57896114</v>
      </c>
      <c r="I78" s="52" t="n">
        <v>50946965</v>
      </c>
      <c r="J78" s="52" t="n">
        <v>53706407</v>
      </c>
      <c r="K78" s="52" t="n">
        <v>77934542</v>
      </c>
      <c r="L78" s="52" t="n">
        <v>29639551</v>
      </c>
      <c r="M78" s="52" t="n">
        <v>43721845</v>
      </c>
      <c r="N78" s="52" t="n">
        <v>36620740</v>
      </c>
      <c r="O78" s="52" t="n">
        <v>30386557</v>
      </c>
      <c r="P78" s="52" t="n">
        <v>35565695</v>
      </c>
      <c r="Q78" s="52" t="n">
        <v>34230438</v>
      </c>
      <c r="R78" s="52" t="n">
        <v>30585940</v>
      </c>
      <c r="S78" s="52" t="n">
        <v>28126204</v>
      </c>
      <c r="T78" s="52" t="n">
        <v>24554429</v>
      </c>
      <c r="U78" s="52" t="n">
        <v>25071055</v>
      </c>
      <c r="V78" s="52" t="n">
        <v>25455235</v>
      </c>
      <c r="W78" s="52" t="n">
        <v>25006335</v>
      </c>
      <c r="X78" s="52" t="n">
        <v>24268110</v>
      </c>
      <c r="Y78" s="52" t="n">
        <v>22699560</v>
      </c>
      <c r="Z78" s="52" t="n">
        <v>19673585</v>
      </c>
      <c r="AA78" s="52" t="n">
        <v>20875656</v>
      </c>
      <c r="AB78" s="52" t="n">
        <v>20159860</v>
      </c>
      <c r="AC78" s="52" t="n">
        <v>20829788</v>
      </c>
      <c r="AD78" s="52" t="n">
        <v>31109500</v>
      </c>
      <c r="AE78" s="52" t="n">
        <v>20997594</v>
      </c>
      <c r="AF78" s="52" t="n">
        <v>27907564</v>
      </c>
      <c r="AG78" s="52" t="n">
        <v>28645823</v>
      </c>
      <c r="AH78" s="52" t="n">
        <v>23424326</v>
      </c>
      <c r="AI78" s="52" t="n">
        <v>28468247</v>
      </c>
      <c r="AJ78" s="52" t="n">
        <v>40141940</v>
      </c>
      <c r="AK78" s="52" t="n">
        <v>39519822</v>
      </c>
      <c r="AL78" s="52" t="n">
        <v>38185763</v>
      </c>
      <c r="AM78" s="52" t="n">
        <v>48679763</v>
      </c>
      <c r="AN78" s="52" t="n">
        <v>44597622</v>
      </c>
      <c r="AO78" s="52" t="n">
        <v>49729276</v>
      </c>
      <c r="AP78" s="52" t="n">
        <v>48903443</v>
      </c>
      <c r="AQ78" s="52" t="n">
        <v>47896139</v>
      </c>
      <c r="AR78" s="52" t="n">
        <v>52547242</v>
      </c>
      <c r="AS78" s="52" t="n">
        <v>52140945</v>
      </c>
      <c r="AT78" s="52" t="n">
        <v>56656402</v>
      </c>
      <c r="AU78" s="52" t="n">
        <v>48256413</v>
      </c>
      <c r="AV78" s="52" t="n">
        <v>47401771</v>
      </c>
      <c r="AW78" s="52" t="n">
        <v>42882234</v>
      </c>
      <c r="AX78" s="52" t="n">
        <v>47052038</v>
      </c>
      <c r="AY78" s="52" t="n">
        <v>43410180</v>
      </c>
      <c r="AZ78" s="52" t="n">
        <v>47820487</v>
      </c>
      <c r="BA78" s="52" t="n">
        <v>44841306</v>
      </c>
      <c r="BB78" s="52" t="n">
        <v>50503403</v>
      </c>
      <c r="BC78" s="52" t="n">
        <v>54527510</v>
      </c>
      <c r="BD78" s="52" t="n">
        <v>47446119</v>
      </c>
      <c r="BE78" s="52" t="n">
        <v>41424731</v>
      </c>
      <c r="BF78" s="52" t="n">
        <v>39464524</v>
      </c>
      <c r="BG78" s="52" t="n">
        <v>41666486</v>
      </c>
      <c r="BH78" s="52" t="n">
        <v>42833492</v>
      </c>
      <c r="BI78" s="52" t="n">
        <v>44204491</v>
      </c>
      <c r="BJ78" s="52" t="n">
        <v>40045332</v>
      </c>
      <c r="BK78" s="52" t="n">
        <v>33658049</v>
      </c>
      <c r="BL78" s="52" t="n">
        <v>39182193</v>
      </c>
      <c r="BM78" s="52" t="n">
        <v>37274967</v>
      </c>
    </row>
    <row r="79" customFormat="false" ht="15" hidden="false" customHeight="false" outlineLevel="0" collapsed="false">
      <c r="A79" s="19" t="s">
        <v>181</v>
      </c>
      <c r="B79" s="22" t="s">
        <v>185</v>
      </c>
      <c r="C79" s="19" t="s">
        <v>186</v>
      </c>
      <c r="D79" s="52" t="n">
        <v>196</v>
      </c>
      <c r="E79" s="52" t="n">
        <v>284181038</v>
      </c>
      <c r="F79" s="52" t="n">
        <v>266192213</v>
      </c>
      <c r="G79" s="52" t="n">
        <v>274088125</v>
      </c>
      <c r="H79" s="52" t="n">
        <v>273086732</v>
      </c>
      <c r="I79" s="52" t="n">
        <v>268120463</v>
      </c>
      <c r="J79" s="52" t="n">
        <v>289049182</v>
      </c>
      <c r="K79" s="52" t="n">
        <v>384399094</v>
      </c>
      <c r="L79" s="52" t="n">
        <v>194581910</v>
      </c>
      <c r="M79" s="52" t="n">
        <v>269882111</v>
      </c>
      <c r="N79" s="52" t="n">
        <v>289576156</v>
      </c>
      <c r="O79" s="52" t="n">
        <v>283269980</v>
      </c>
      <c r="P79" s="52" t="n">
        <v>293679055</v>
      </c>
      <c r="Q79" s="52" t="n">
        <v>276965490</v>
      </c>
      <c r="R79" s="52" t="n">
        <v>284971446</v>
      </c>
      <c r="S79" s="52" t="n">
        <v>267362213</v>
      </c>
      <c r="T79" s="52" t="n">
        <v>278084163</v>
      </c>
      <c r="U79" s="52" t="n">
        <v>274171440</v>
      </c>
      <c r="V79" s="52" t="n">
        <v>275201256</v>
      </c>
      <c r="W79" s="52" t="n">
        <v>306865200</v>
      </c>
      <c r="X79" s="52" t="n">
        <v>293732354</v>
      </c>
      <c r="Y79" s="52" t="n">
        <v>258932095</v>
      </c>
      <c r="Z79" s="52" t="n">
        <v>259055928</v>
      </c>
      <c r="AA79" s="52" t="n">
        <v>252635045</v>
      </c>
      <c r="AB79" s="52" t="n">
        <v>261576358</v>
      </c>
      <c r="AC79" s="52" t="n">
        <v>263416061</v>
      </c>
      <c r="AD79" s="52" t="n">
        <v>314899318</v>
      </c>
      <c r="AE79" s="52" t="n">
        <v>196696464</v>
      </c>
      <c r="AF79" s="52" t="n">
        <v>248103409</v>
      </c>
      <c r="AG79" s="52" t="n">
        <v>258706602</v>
      </c>
      <c r="AH79" s="52" t="n">
        <v>253167115</v>
      </c>
      <c r="AI79" s="52" t="n">
        <v>255866562</v>
      </c>
      <c r="AJ79" s="52" t="n">
        <v>249286463</v>
      </c>
      <c r="AK79" s="52" t="n">
        <v>248113979</v>
      </c>
      <c r="AL79" s="52" t="n">
        <v>255642749</v>
      </c>
      <c r="AM79" s="52" t="n">
        <v>238847547</v>
      </c>
      <c r="AN79" s="52" t="n">
        <v>241510321</v>
      </c>
      <c r="AO79" s="52" t="n">
        <v>250302470</v>
      </c>
      <c r="AP79" s="52" t="n">
        <v>250910212</v>
      </c>
      <c r="AQ79" s="52" t="n">
        <v>246896312</v>
      </c>
      <c r="AR79" s="52" t="n">
        <v>258928563</v>
      </c>
      <c r="AS79" s="52" t="n">
        <v>243869334</v>
      </c>
      <c r="AT79" s="52" t="n">
        <v>249126878</v>
      </c>
      <c r="AU79" s="52" t="n">
        <v>224877787</v>
      </c>
      <c r="AV79" s="52" t="n">
        <v>239641567</v>
      </c>
      <c r="AW79" s="52" t="n">
        <v>247282682</v>
      </c>
      <c r="AX79" s="52" t="n">
        <v>246693897</v>
      </c>
      <c r="AY79" s="52" t="n">
        <v>243356457</v>
      </c>
      <c r="AZ79" s="52" t="n">
        <v>235003761</v>
      </c>
      <c r="BA79" s="52" t="n">
        <v>232666455</v>
      </c>
      <c r="BB79" s="52" t="n">
        <v>239298318</v>
      </c>
      <c r="BC79" s="52" t="n">
        <v>262955255</v>
      </c>
      <c r="BD79" s="52" t="n">
        <v>254525410</v>
      </c>
      <c r="BE79" s="52" t="n">
        <v>233319869</v>
      </c>
      <c r="BF79" s="52" t="n">
        <v>236096234</v>
      </c>
      <c r="BG79" s="52" t="n">
        <v>236919618</v>
      </c>
      <c r="BH79" s="52" t="n">
        <v>245483326</v>
      </c>
      <c r="BI79" s="52" t="n">
        <v>248616848</v>
      </c>
      <c r="BJ79" s="52" t="n">
        <v>247136198</v>
      </c>
      <c r="BK79" s="52" t="n">
        <v>207122654</v>
      </c>
      <c r="BL79" s="52" t="n">
        <v>236231115</v>
      </c>
      <c r="BM79" s="52" t="n">
        <v>223985928</v>
      </c>
    </row>
    <row r="80" customFormat="false" ht="15" hidden="false" customHeight="false" outlineLevel="0" collapsed="false">
      <c r="A80" s="19" t="s">
        <v>181</v>
      </c>
      <c r="B80" s="22" t="s">
        <v>304</v>
      </c>
      <c r="C80" s="22" t="s">
        <v>305</v>
      </c>
      <c r="D80" s="52" t="n">
        <v>8</v>
      </c>
      <c r="E80" s="52" t="n">
        <v>7742210</v>
      </c>
      <c r="F80" s="52" t="n">
        <v>7796870</v>
      </c>
      <c r="G80" s="52" t="n">
        <v>6495110</v>
      </c>
      <c r="H80" s="52" t="n">
        <v>5687920</v>
      </c>
      <c r="I80" s="52" t="n">
        <v>6376870</v>
      </c>
      <c r="J80" s="52" t="n">
        <v>6995350</v>
      </c>
      <c r="K80" s="52" t="n">
        <v>7987810</v>
      </c>
      <c r="L80" s="52" t="n">
        <v>5014370</v>
      </c>
      <c r="M80" s="52" t="n">
        <v>5031420</v>
      </c>
      <c r="N80" s="52" t="n">
        <v>5937280</v>
      </c>
      <c r="O80" s="52" t="n">
        <v>5880180</v>
      </c>
      <c r="P80" s="52" t="n">
        <v>5886160</v>
      </c>
      <c r="Q80" s="52" t="n">
        <v>4798490</v>
      </c>
      <c r="R80" s="52" t="n">
        <v>6317560</v>
      </c>
      <c r="S80" s="52" t="n">
        <v>5117290</v>
      </c>
      <c r="T80" s="52" t="n">
        <v>6258810</v>
      </c>
      <c r="U80" s="52" t="n">
        <v>5715260</v>
      </c>
      <c r="V80" s="52" t="n">
        <v>5352110</v>
      </c>
      <c r="W80" s="52" t="n">
        <v>6695250</v>
      </c>
      <c r="X80" s="52" t="n">
        <v>4174400</v>
      </c>
      <c r="Y80" s="52" t="n">
        <v>5742950</v>
      </c>
      <c r="Z80" s="52" t="n">
        <v>4424470</v>
      </c>
      <c r="AA80" s="52" t="n">
        <v>3820590</v>
      </c>
      <c r="AB80" s="52" t="n">
        <v>4202940</v>
      </c>
      <c r="AC80" s="52" t="n">
        <v>4648010</v>
      </c>
      <c r="AD80" s="52" t="n">
        <v>6096210</v>
      </c>
      <c r="AE80" s="52" t="n">
        <v>2900890</v>
      </c>
      <c r="AF80" s="52" t="n">
        <v>4463260</v>
      </c>
      <c r="AG80" s="52" t="n">
        <v>4411790</v>
      </c>
      <c r="AH80" s="52" t="n">
        <v>4675200</v>
      </c>
      <c r="AI80" s="52" t="n">
        <v>4088520</v>
      </c>
      <c r="AJ80" s="52" t="n">
        <v>3193070</v>
      </c>
      <c r="AK80" s="52" t="n">
        <v>3990320</v>
      </c>
      <c r="AL80" s="52" t="n">
        <v>3886720</v>
      </c>
      <c r="AM80" s="52" t="n">
        <v>3117740</v>
      </c>
      <c r="AN80" s="52" t="n">
        <v>3966780</v>
      </c>
      <c r="AO80" s="52" t="n">
        <v>5143500</v>
      </c>
      <c r="AP80" s="52" t="n">
        <v>4115800</v>
      </c>
      <c r="AQ80" s="52" t="n">
        <v>3973820</v>
      </c>
      <c r="AR80" s="52" t="n">
        <v>3611290</v>
      </c>
      <c r="AS80" s="52" t="n">
        <v>3075040</v>
      </c>
      <c r="AT80" s="52" t="n">
        <v>4817900</v>
      </c>
      <c r="AU80" s="52" t="n">
        <v>3413330</v>
      </c>
      <c r="AV80" s="52" t="n">
        <v>3118190</v>
      </c>
      <c r="AW80" s="52" t="n">
        <v>3677550</v>
      </c>
      <c r="AX80" s="52" t="n">
        <v>3043210</v>
      </c>
      <c r="AY80" s="52" t="n">
        <v>4015700</v>
      </c>
      <c r="AZ80" s="52" t="n">
        <v>3992050</v>
      </c>
      <c r="BA80" s="52" t="n">
        <v>3239050</v>
      </c>
      <c r="BB80" s="52" t="n">
        <v>4770730</v>
      </c>
      <c r="BC80" s="52" t="n">
        <v>5255330</v>
      </c>
      <c r="BD80" s="52" t="n">
        <v>4813420</v>
      </c>
      <c r="BE80" s="52" t="n">
        <v>3407510</v>
      </c>
      <c r="BF80" s="52" t="n">
        <v>3760200</v>
      </c>
      <c r="BG80" s="52" t="n">
        <v>4345250</v>
      </c>
      <c r="BH80" s="52" t="n">
        <v>3291330</v>
      </c>
      <c r="BI80" s="52" t="n">
        <v>4191580</v>
      </c>
      <c r="BJ80" s="52" t="n">
        <v>3533690</v>
      </c>
      <c r="BK80" s="52" t="n">
        <v>3610700</v>
      </c>
      <c r="BL80" s="52" t="n">
        <v>3934200</v>
      </c>
      <c r="BM80" s="52" t="n">
        <v>3463540</v>
      </c>
    </row>
    <row r="81" customFormat="false" ht="15" hidden="false" customHeight="false" outlineLevel="0" collapsed="false">
      <c r="A81" s="19" t="s">
        <v>181</v>
      </c>
      <c r="B81" s="22" t="s">
        <v>182</v>
      </c>
      <c r="C81" s="19" t="s">
        <v>74</v>
      </c>
      <c r="D81" s="52" t="n">
        <v>970</v>
      </c>
      <c r="E81" s="52" t="n">
        <v>1527943857</v>
      </c>
      <c r="F81" s="52" t="n">
        <v>1442181270</v>
      </c>
      <c r="G81" s="52" t="n">
        <v>1583784176</v>
      </c>
      <c r="H81" s="52" t="n">
        <v>1423173024</v>
      </c>
      <c r="I81" s="52" t="n">
        <v>1432465350</v>
      </c>
      <c r="J81" s="52" t="n">
        <v>1430159991</v>
      </c>
      <c r="K81" s="52" t="n">
        <v>2505971598</v>
      </c>
      <c r="L81" s="52" t="n">
        <v>1091501780</v>
      </c>
      <c r="M81" s="52" t="n">
        <v>1168813651</v>
      </c>
      <c r="N81" s="52" t="n">
        <v>1255199159</v>
      </c>
      <c r="O81" s="52" t="n">
        <v>1254390271</v>
      </c>
      <c r="P81" s="52" t="n">
        <v>1358717213</v>
      </c>
      <c r="Q81" s="52" t="n">
        <v>1383012620</v>
      </c>
      <c r="R81" s="52" t="n">
        <v>1322853954</v>
      </c>
      <c r="S81" s="52" t="n">
        <v>1280048920</v>
      </c>
      <c r="T81" s="52" t="n">
        <v>1432313389</v>
      </c>
      <c r="U81" s="52" t="n">
        <v>1294198802</v>
      </c>
      <c r="V81" s="52" t="n">
        <v>1419391223</v>
      </c>
      <c r="W81" s="52" t="n">
        <v>1651574676</v>
      </c>
      <c r="X81" s="52" t="n">
        <v>1908011349</v>
      </c>
      <c r="Y81" s="52" t="n">
        <v>1809596773</v>
      </c>
      <c r="Z81" s="52" t="n">
        <v>1556675904</v>
      </c>
      <c r="AA81" s="52" t="n">
        <v>1469835573</v>
      </c>
      <c r="AB81" s="52" t="n">
        <v>1347892054</v>
      </c>
      <c r="AC81" s="52" t="n">
        <v>1585742691</v>
      </c>
      <c r="AD81" s="52" t="n">
        <v>1957121630</v>
      </c>
      <c r="AE81" s="52" t="n">
        <v>1426130252</v>
      </c>
      <c r="AF81" s="52" t="n">
        <v>1477428203</v>
      </c>
      <c r="AG81" s="52" t="n">
        <v>1620073672</v>
      </c>
      <c r="AH81" s="52" t="n">
        <v>1441204210</v>
      </c>
      <c r="AI81" s="52" t="n">
        <v>1500202900</v>
      </c>
      <c r="AJ81" s="52" t="n">
        <v>1462327187</v>
      </c>
      <c r="AK81" s="52" t="n">
        <v>1450776075</v>
      </c>
      <c r="AL81" s="52" t="n">
        <v>1454869400</v>
      </c>
      <c r="AM81" s="52" t="n">
        <v>1442086939</v>
      </c>
      <c r="AN81" s="52" t="n">
        <v>1400506285</v>
      </c>
      <c r="AO81" s="52" t="n">
        <v>1674646946</v>
      </c>
      <c r="AP81" s="52" t="n">
        <v>1729472104</v>
      </c>
      <c r="AQ81" s="52" t="n">
        <v>1508803649</v>
      </c>
      <c r="AR81" s="52" t="n">
        <v>1612167303</v>
      </c>
      <c r="AS81" s="52" t="n">
        <v>1527458500</v>
      </c>
      <c r="AT81" s="52" t="n">
        <v>1805848530</v>
      </c>
      <c r="AU81" s="52" t="n">
        <v>1540336432</v>
      </c>
      <c r="AV81" s="52" t="n">
        <v>1697729144</v>
      </c>
      <c r="AW81" s="52" t="n">
        <v>1683416006</v>
      </c>
      <c r="AX81" s="52" t="n">
        <v>1737307487</v>
      </c>
      <c r="AY81" s="52" t="n">
        <v>1655481406</v>
      </c>
      <c r="AZ81" s="52" t="n">
        <v>1860033202</v>
      </c>
      <c r="BA81" s="52" t="n">
        <v>1689121301</v>
      </c>
      <c r="BB81" s="52" t="n">
        <v>1727505237</v>
      </c>
      <c r="BC81" s="52" t="n">
        <v>1942352378</v>
      </c>
      <c r="BD81" s="52" t="n">
        <v>1749426457</v>
      </c>
      <c r="BE81" s="52" t="n">
        <v>1642344165</v>
      </c>
      <c r="BF81" s="52" t="n">
        <v>1582503657</v>
      </c>
      <c r="BG81" s="52" t="n">
        <v>1651973590</v>
      </c>
      <c r="BH81" s="52" t="n">
        <v>1517138745</v>
      </c>
      <c r="BI81" s="52" t="n">
        <v>1663473058</v>
      </c>
      <c r="BJ81" s="52" t="n">
        <v>1916936167</v>
      </c>
      <c r="BK81" s="52" t="n">
        <v>1431535451</v>
      </c>
      <c r="BL81" s="52" t="n">
        <v>1576486526</v>
      </c>
      <c r="BM81" s="52" t="n">
        <v>1540682457</v>
      </c>
    </row>
    <row r="82" customFormat="false" ht="15" hidden="false" customHeight="false" outlineLevel="0" collapsed="false">
      <c r="A82" s="19" t="s">
        <v>181</v>
      </c>
      <c r="B82" s="22" t="s">
        <v>226</v>
      </c>
      <c r="C82" s="19" t="s">
        <v>227</v>
      </c>
      <c r="D82" s="52" t="n">
        <v>77</v>
      </c>
      <c r="E82" s="52" t="n">
        <v>44898356</v>
      </c>
      <c r="F82" s="52" t="n">
        <v>43091091</v>
      </c>
      <c r="G82" s="52" t="n">
        <v>41989753</v>
      </c>
      <c r="H82" s="52" t="n">
        <v>42715566</v>
      </c>
      <c r="I82" s="52" t="n">
        <v>41381944</v>
      </c>
      <c r="J82" s="52" t="n">
        <v>39845449</v>
      </c>
      <c r="K82" s="52" t="n">
        <v>36381656</v>
      </c>
      <c r="L82" s="52" t="n">
        <v>15306668</v>
      </c>
      <c r="M82" s="52" t="n">
        <v>44990723</v>
      </c>
      <c r="N82" s="52" t="n">
        <v>42775288</v>
      </c>
      <c r="O82" s="52" t="n">
        <v>40179544</v>
      </c>
      <c r="P82" s="52" t="n">
        <v>41560846</v>
      </c>
      <c r="Q82" s="52" t="n">
        <v>43052040</v>
      </c>
      <c r="R82" s="52" t="n">
        <v>40983596</v>
      </c>
      <c r="S82" s="52" t="n">
        <v>43158856</v>
      </c>
      <c r="T82" s="52" t="n">
        <v>39422119</v>
      </c>
      <c r="U82" s="52" t="n">
        <v>42561496</v>
      </c>
      <c r="V82" s="52" t="n">
        <v>41129834</v>
      </c>
      <c r="W82" s="52" t="n">
        <v>41011722</v>
      </c>
      <c r="X82" s="52" t="n">
        <v>30646361</v>
      </c>
      <c r="Y82" s="52" t="n">
        <v>37877377</v>
      </c>
      <c r="Z82" s="52" t="n">
        <v>37832602</v>
      </c>
      <c r="AA82" s="52" t="n">
        <v>38623140</v>
      </c>
      <c r="AB82" s="52" t="n">
        <v>40974539</v>
      </c>
      <c r="AC82" s="52" t="n">
        <v>42833174</v>
      </c>
      <c r="AD82" s="52" t="n">
        <v>46164097</v>
      </c>
      <c r="AE82" s="52" t="n">
        <v>23996246</v>
      </c>
      <c r="AF82" s="52" t="n">
        <v>41155147</v>
      </c>
      <c r="AG82" s="52" t="n">
        <v>36859366</v>
      </c>
      <c r="AH82" s="52" t="n">
        <v>42009497</v>
      </c>
      <c r="AI82" s="52" t="n">
        <v>40029176</v>
      </c>
      <c r="AJ82" s="52" t="n">
        <v>45542138</v>
      </c>
      <c r="AK82" s="52" t="n">
        <v>40421590</v>
      </c>
      <c r="AL82" s="52" t="n">
        <v>43095750</v>
      </c>
      <c r="AM82" s="52" t="n">
        <v>44516246</v>
      </c>
      <c r="AN82" s="52" t="n">
        <v>49702503</v>
      </c>
      <c r="AO82" s="52" t="n">
        <v>45286684</v>
      </c>
      <c r="AP82" s="52" t="n">
        <v>45929982</v>
      </c>
      <c r="AQ82" s="52" t="n">
        <v>52780488</v>
      </c>
      <c r="AR82" s="52" t="n">
        <v>50326066</v>
      </c>
      <c r="AS82" s="52" t="n">
        <v>53058386</v>
      </c>
      <c r="AT82" s="52" t="n">
        <v>55947879</v>
      </c>
      <c r="AU82" s="52" t="n">
        <v>52289743</v>
      </c>
      <c r="AV82" s="52" t="n">
        <v>55958067</v>
      </c>
      <c r="AW82" s="52" t="n">
        <v>51225746</v>
      </c>
      <c r="AX82" s="52" t="n">
        <v>52173658</v>
      </c>
      <c r="AY82" s="52" t="n">
        <v>46095893</v>
      </c>
      <c r="AZ82" s="52" t="n">
        <v>48606542</v>
      </c>
      <c r="BA82" s="52" t="n">
        <v>46417700</v>
      </c>
      <c r="BB82" s="52" t="n">
        <v>51811919</v>
      </c>
      <c r="BC82" s="52" t="n">
        <v>58326736</v>
      </c>
      <c r="BD82" s="52" t="n">
        <v>49175660</v>
      </c>
      <c r="BE82" s="52" t="n">
        <v>45200590</v>
      </c>
      <c r="BF82" s="52" t="n">
        <v>47903530</v>
      </c>
      <c r="BG82" s="52" t="n">
        <v>45301190</v>
      </c>
      <c r="BH82" s="52" t="n">
        <v>43236810</v>
      </c>
      <c r="BI82" s="52" t="n">
        <v>43858370</v>
      </c>
      <c r="BJ82" s="52" t="n">
        <v>29221030</v>
      </c>
      <c r="BK82" s="52" t="n">
        <v>39623620</v>
      </c>
      <c r="BL82" s="52" t="n">
        <v>36116680</v>
      </c>
      <c r="BM82" s="52" t="n">
        <v>44824180</v>
      </c>
    </row>
    <row r="83" customFormat="false" ht="15" hidden="false" customHeight="false" outlineLevel="0" collapsed="false">
      <c r="A83" s="19" t="s">
        <v>181</v>
      </c>
      <c r="B83" s="22" t="s">
        <v>398</v>
      </c>
      <c r="C83" s="19" t="s">
        <v>399</v>
      </c>
      <c r="D83" s="52" t="n">
        <v>0</v>
      </c>
      <c r="E83" s="52" t="n">
        <v>643500</v>
      </c>
      <c r="F83" s="52" t="n">
        <v>341480</v>
      </c>
      <c r="G83" s="52" t="n">
        <v>1056000</v>
      </c>
      <c r="H83" s="52" t="n">
        <v>643500</v>
      </c>
      <c r="I83" s="52" t="n">
        <v>480000</v>
      </c>
      <c r="J83" s="52" t="n">
        <v>573000</v>
      </c>
      <c r="K83" s="52" t="n">
        <v>1860000</v>
      </c>
      <c r="L83" s="52" t="n">
        <v>0</v>
      </c>
      <c r="M83" s="52" t="n">
        <v>713480</v>
      </c>
      <c r="N83" s="52" t="n">
        <v>960000</v>
      </c>
      <c r="O83" s="52" t="n">
        <v>180000</v>
      </c>
      <c r="P83" s="52" t="n">
        <v>840000</v>
      </c>
      <c r="Q83" s="52" t="n">
        <v>540000</v>
      </c>
      <c r="R83" s="52" t="n">
        <v>1845000</v>
      </c>
      <c r="S83" s="52" t="n">
        <v>1500000</v>
      </c>
      <c r="T83" s="52" t="n">
        <v>540000</v>
      </c>
      <c r="U83" s="52" t="n">
        <v>465000</v>
      </c>
      <c r="V83" s="52" t="n">
        <v>1860000</v>
      </c>
      <c r="W83" s="52" t="n">
        <v>300000</v>
      </c>
      <c r="X83" s="52" t="n">
        <v>1320000</v>
      </c>
      <c r="Y83" s="52" t="n">
        <v>840000</v>
      </c>
      <c r="Z83" s="52" t="n">
        <v>360000</v>
      </c>
      <c r="AA83" s="52" t="n">
        <v>780000</v>
      </c>
      <c r="AB83" s="52" t="n">
        <v>420000</v>
      </c>
      <c r="AC83" s="52" t="n">
        <v>720000</v>
      </c>
      <c r="AD83" s="52" t="n">
        <v>240000</v>
      </c>
      <c r="AE83" s="52" t="n">
        <v>240000</v>
      </c>
      <c r="AF83" s="52" t="n">
        <v>1260000</v>
      </c>
      <c r="AG83" s="52" t="n">
        <v>0</v>
      </c>
      <c r="AH83" s="52" t="n">
        <v>300000</v>
      </c>
      <c r="AI83" s="52" t="n">
        <v>0</v>
      </c>
      <c r="AJ83" s="52" t="n">
        <v>300000</v>
      </c>
      <c r="AK83" s="52" t="n">
        <v>0</v>
      </c>
      <c r="AL83" s="52" t="n">
        <v>0</v>
      </c>
      <c r="AM83" s="52" t="n">
        <v>300000</v>
      </c>
      <c r="AN83" s="52" t="n">
        <v>0</v>
      </c>
      <c r="AO83" s="52" t="n">
        <v>60000</v>
      </c>
      <c r="AP83" s="52" t="n">
        <v>0</v>
      </c>
      <c r="AQ83" s="52" t="n">
        <v>0</v>
      </c>
      <c r="AR83" s="52" t="n">
        <v>0</v>
      </c>
      <c r="AS83" s="52" t="n">
        <v>0</v>
      </c>
      <c r="AT83" s="52" t="n">
        <v>0</v>
      </c>
      <c r="AU83" s="52" t="n">
        <v>0</v>
      </c>
      <c r="AV83" s="52" t="n">
        <v>0</v>
      </c>
      <c r="AW83" s="52" t="n">
        <v>0</v>
      </c>
      <c r="AX83" s="52" t="n">
        <v>0</v>
      </c>
      <c r="AY83" s="52" t="n">
        <v>0</v>
      </c>
      <c r="AZ83" s="52" t="n">
        <v>0</v>
      </c>
      <c r="BA83" s="52" t="n">
        <v>0</v>
      </c>
      <c r="BB83" s="52" t="n">
        <v>0</v>
      </c>
      <c r="BC83" s="52" t="n">
        <v>0</v>
      </c>
      <c r="BD83" s="52" t="n">
        <v>0</v>
      </c>
      <c r="BE83" s="52" t="n">
        <v>0</v>
      </c>
      <c r="BF83" s="52" t="n">
        <v>0</v>
      </c>
      <c r="BG83" s="52" t="n">
        <v>0</v>
      </c>
      <c r="BH83" s="52" t="n">
        <v>0</v>
      </c>
      <c r="BI83" s="52" t="n">
        <v>0</v>
      </c>
      <c r="BJ83" s="52" t="n">
        <v>0</v>
      </c>
      <c r="BK83" s="52" t="n">
        <v>0</v>
      </c>
      <c r="BL83" s="52" t="n">
        <v>0</v>
      </c>
      <c r="BM83" s="52" t="n">
        <v>0</v>
      </c>
    </row>
    <row r="84" customFormat="false" ht="15" hidden="false" customHeight="false" outlineLevel="0" collapsed="false">
      <c r="A84" s="19" t="s">
        <v>181</v>
      </c>
      <c r="B84" s="22" t="s">
        <v>217</v>
      </c>
      <c r="C84" s="19" t="s">
        <v>218</v>
      </c>
      <c r="D84" s="52" t="n">
        <v>34</v>
      </c>
      <c r="E84" s="52" t="n">
        <v>61651253</v>
      </c>
      <c r="F84" s="52" t="n">
        <v>61580927</v>
      </c>
      <c r="G84" s="52" t="n">
        <v>60187571</v>
      </c>
      <c r="H84" s="52" t="n">
        <v>61748962</v>
      </c>
      <c r="I84" s="52" t="n">
        <v>58247489</v>
      </c>
      <c r="J84" s="52" t="n">
        <v>62182368</v>
      </c>
      <c r="K84" s="52" t="n">
        <v>71792643</v>
      </c>
      <c r="L84" s="52" t="n">
        <v>29334801</v>
      </c>
      <c r="M84" s="52" t="n">
        <v>50180770</v>
      </c>
      <c r="N84" s="52" t="n">
        <v>58965532</v>
      </c>
      <c r="O84" s="52" t="n">
        <v>62836920</v>
      </c>
      <c r="P84" s="52" t="n">
        <v>61443466</v>
      </c>
      <c r="Q84" s="52" t="n">
        <v>69880138</v>
      </c>
      <c r="R84" s="52" t="n">
        <v>60338164</v>
      </c>
      <c r="S84" s="52" t="n">
        <v>62505095</v>
      </c>
      <c r="T84" s="52" t="n">
        <v>61292207</v>
      </c>
      <c r="U84" s="52" t="n">
        <v>63086801</v>
      </c>
      <c r="V84" s="52" t="n">
        <v>64456513</v>
      </c>
      <c r="W84" s="52" t="n">
        <v>59031158</v>
      </c>
      <c r="X84" s="52" t="n">
        <v>60067562</v>
      </c>
      <c r="Y84" s="52" t="n">
        <v>59468875</v>
      </c>
      <c r="Z84" s="52" t="n">
        <v>58338167</v>
      </c>
      <c r="AA84" s="52" t="n">
        <v>68106804</v>
      </c>
      <c r="AB84" s="52" t="n">
        <v>54472982</v>
      </c>
      <c r="AC84" s="52" t="n">
        <v>57945232</v>
      </c>
      <c r="AD84" s="52" t="n">
        <v>71167099</v>
      </c>
      <c r="AE84" s="52" t="n">
        <v>33487224</v>
      </c>
      <c r="AF84" s="52" t="n">
        <v>58937613</v>
      </c>
      <c r="AG84" s="52" t="n">
        <v>60111595</v>
      </c>
      <c r="AH84" s="52" t="n">
        <v>59739919</v>
      </c>
      <c r="AI84" s="52" t="n">
        <v>55973228</v>
      </c>
      <c r="AJ84" s="52" t="n">
        <v>62076573</v>
      </c>
      <c r="AK84" s="52" t="n">
        <v>64473671</v>
      </c>
      <c r="AL84" s="52" t="n">
        <v>59488153</v>
      </c>
      <c r="AM84" s="52" t="n">
        <v>57837891</v>
      </c>
      <c r="AN84" s="52" t="n">
        <v>60049665</v>
      </c>
      <c r="AO84" s="52" t="n">
        <v>63616570</v>
      </c>
      <c r="AP84" s="52" t="n">
        <v>62581451</v>
      </c>
      <c r="AQ84" s="52" t="n">
        <v>58106686</v>
      </c>
      <c r="AR84" s="52" t="n">
        <v>61352321</v>
      </c>
      <c r="AS84" s="52" t="n">
        <v>59213082</v>
      </c>
      <c r="AT84" s="52" t="n">
        <v>60793966</v>
      </c>
      <c r="AU84" s="52" t="n">
        <v>59557931</v>
      </c>
      <c r="AV84" s="52" t="n">
        <v>52701484</v>
      </c>
      <c r="AW84" s="52" t="n">
        <v>58118972</v>
      </c>
      <c r="AX84" s="52" t="n">
        <v>55108809</v>
      </c>
      <c r="AY84" s="52" t="n">
        <v>53185392</v>
      </c>
      <c r="AZ84" s="52" t="n">
        <v>51747608</v>
      </c>
      <c r="BA84" s="52" t="n">
        <v>52324366</v>
      </c>
      <c r="BB84" s="52" t="n">
        <v>56751141</v>
      </c>
      <c r="BC84" s="52" t="n">
        <v>59369763</v>
      </c>
      <c r="BD84" s="52" t="n">
        <v>56027718</v>
      </c>
      <c r="BE84" s="52" t="n">
        <v>53710862</v>
      </c>
      <c r="BF84" s="52" t="n">
        <v>53896707</v>
      </c>
      <c r="BG84" s="52" t="n">
        <v>54605606</v>
      </c>
      <c r="BH84" s="52" t="n">
        <v>53591354</v>
      </c>
      <c r="BI84" s="52" t="n">
        <v>52198649</v>
      </c>
      <c r="BJ84" s="52" t="n">
        <v>46983513</v>
      </c>
      <c r="BK84" s="52" t="n">
        <v>48794328</v>
      </c>
      <c r="BL84" s="52" t="n">
        <v>53375405</v>
      </c>
      <c r="BM84" s="52" t="n">
        <v>56388188</v>
      </c>
    </row>
    <row r="85" customFormat="false" ht="15" hidden="false" customHeight="false" outlineLevel="0" collapsed="false">
      <c r="A85" s="19" t="s">
        <v>181</v>
      </c>
      <c r="B85" s="22" t="s">
        <v>290</v>
      </c>
      <c r="C85" s="22" t="s">
        <v>291</v>
      </c>
      <c r="D85" s="52" t="n">
        <v>7</v>
      </c>
      <c r="E85" s="52" t="n">
        <v>4731680</v>
      </c>
      <c r="F85" s="52" t="n">
        <v>6342690</v>
      </c>
      <c r="G85" s="52" t="n">
        <v>4592510</v>
      </c>
      <c r="H85" s="52" t="n">
        <v>6974180</v>
      </c>
      <c r="I85" s="52" t="n">
        <v>6504520</v>
      </c>
      <c r="J85" s="52" t="n">
        <v>5782630</v>
      </c>
      <c r="K85" s="52" t="n">
        <v>10096850</v>
      </c>
      <c r="L85" s="52" t="n">
        <v>4431480</v>
      </c>
      <c r="M85" s="52" t="n">
        <v>4685280</v>
      </c>
      <c r="N85" s="52" t="n">
        <v>4129240</v>
      </c>
      <c r="O85" s="52" t="n">
        <v>6584930</v>
      </c>
      <c r="P85" s="52" t="n">
        <v>5032420</v>
      </c>
      <c r="Q85" s="52" t="n">
        <v>6322710</v>
      </c>
      <c r="R85" s="52" t="n">
        <v>4438710</v>
      </c>
      <c r="S85" s="52" t="n">
        <v>3714740</v>
      </c>
      <c r="T85" s="52" t="n">
        <v>4140630</v>
      </c>
      <c r="U85" s="52" t="n">
        <v>5548500</v>
      </c>
      <c r="V85" s="52" t="n">
        <v>3938180</v>
      </c>
      <c r="W85" s="52" t="n">
        <v>7359270</v>
      </c>
      <c r="X85" s="52" t="n">
        <v>4868410</v>
      </c>
      <c r="Y85" s="52" t="n">
        <v>5585860</v>
      </c>
      <c r="Z85" s="52" t="n">
        <v>4730570</v>
      </c>
      <c r="AA85" s="52" t="n">
        <v>4456100</v>
      </c>
      <c r="AB85" s="52" t="n">
        <v>4517100</v>
      </c>
      <c r="AC85" s="52" t="n">
        <v>4674980</v>
      </c>
      <c r="AD85" s="52" t="n">
        <v>7157070</v>
      </c>
      <c r="AE85" s="52" t="n">
        <v>2755520</v>
      </c>
      <c r="AF85" s="52" t="n">
        <v>6309370</v>
      </c>
      <c r="AG85" s="52" t="n">
        <v>5559980</v>
      </c>
      <c r="AH85" s="52" t="n">
        <v>4135310</v>
      </c>
      <c r="AI85" s="52" t="n">
        <v>4720780</v>
      </c>
      <c r="AJ85" s="52" t="n">
        <v>5548380</v>
      </c>
      <c r="AK85" s="52" t="n">
        <v>5352340</v>
      </c>
      <c r="AL85" s="52" t="n">
        <v>4812160</v>
      </c>
      <c r="AM85" s="52" t="n">
        <v>4814750</v>
      </c>
      <c r="AN85" s="52" t="n">
        <v>4024770</v>
      </c>
      <c r="AO85" s="52" t="n">
        <v>6595300</v>
      </c>
      <c r="AP85" s="52" t="n">
        <v>4626910</v>
      </c>
      <c r="AQ85" s="52" t="n">
        <v>5792910</v>
      </c>
      <c r="AR85" s="52" t="n">
        <v>6075880</v>
      </c>
      <c r="AS85" s="52" t="n">
        <v>3382770</v>
      </c>
      <c r="AT85" s="52" t="n">
        <v>5721080</v>
      </c>
      <c r="AU85" s="52" t="n">
        <v>5675760</v>
      </c>
      <c r="AV85" s="52" t="n">
        <v>3153820</v>
      </c>
      <c r="AW85" s="52" t="n">
        <v>3581320</v>
      </c>
      <c r="AX85" s="52" t="n">
        <v>5625360</v>
      </c>
      <c r="AY85" s="52" t="n">
        <v>4453680</v>
      </c>
      <c r="AZ85" s="52" t="n">
        <v>4259390</v>
      </c>
      <c r="BA85" s="52" t="n">
        <v>2484000</v>
      </c>
      <c r="BB85" s="52" t="n">
        <v>4747270</v>
      </c>
      <c r="BC85" s="52" t="n">
        <v>3330800</v>
      </c>
      <c r="BD85" s="52" t="n">
        <v>3782290</v>
      </c>
      <c r="BE85" s="52" t="n">
        <v>4396810</v>
      </c>
      <c r="BF85" s="52" t="n">
        <v>3293910</v>
      </c>
      <c r="BG85" s="52" t="n">
        <v>3936690</v>
      </c>
      <c r="BH85" s="52" t="n">
        <v>4969210</v>
      </c>
      <c r="BI85" s="52" t="n">
        <v>5492200</v>
      </c>
      <c r="BJ85" s="52" t="n">
        <v>5271010</v>
      </c>
      <c r="BK85" s="52" t="n">
        <v>4584270</v>
      </c>
      <c r="BL85" s="52" t="n">
        <v>3928750</v>
      </c>
      <c r="BM85" s="52" t="n">
        <v>6362940</v>
      </c>
    </row>
    <row r="86" customFormat="false" ht="15" hidden="false" customHeight="false" outlineLevel="0" collapsed="false">
      <c r="A86" s="19" t="s">
        <v>181</v>
      </c>
      <c r="B86" s="22" t="s">
        <v>262</v>
      </c>
      <c r="C86" s="19" t="s">
        <v>263</v>
      </c>
      <c r="D86" s="52" t="n">
        <v>9</v>
      </c>
      <c r="E86" s="52" t="n">
        <v>11009340</v>
      </c>
      <c r="F86" s="52" t="n">
        <v>10869190</v>
      </c>
      <c r="G86" s="52" t="n">
        <v>10034805</v>
      </c>
      <c r="H86" s="52" t="n">
        <v>11785840</v>
      </c>
      <c r="I86" s="52" t="n">
        <v>11468405</v>
      </c>
      <c r="J86" s="52" t="n">
        <v>11449030</v>
      </c>
      <c r="K86" s="52" t="n">
        <v>17602415</v>
      </c>
      <c r="L86" s="52" t="n">
        <v>5572535</v>
      </c>
      <c r="M86" s="52" t="n">
        <v>9470570</v>
      </c>
      <c r="N86" s="52" t="n">
        <v>9518025</v>
      </c>
      <c r="O86" s="52" t="n">
        <v>10344210</v>
      </c>
      <c r="P86" s="52" t="n">
        <v>11203820</v>
      </c>
      <c r="Q86" s="52" t="n">
        <v>10325295</v>
      </c>
      <c r="R86" s="52" t="n">
        <v>12371390</v>
      </c>
      <c r="S86" s="52" t="n">
        <v>8267315</v>
      </c>
      <c r="T86" s="52" t="n">
        <v>10187285</v>
      </c>
      <c r="U86" s="52" t="n">
        <v>8488885</v>
      </c>
      <c r="V86" s="52" t="n">
        <v>11078815</v>
      </c>
      <c r="W86" s="52" t="n">
        <v>9867520</v>
      </c>
      <c r="X86" s="52" t="n">
        <v>10893875</v>
      </c>
      <c r="Y86" s="52" t="n">
        <v>9044435</v>
      </c>
      <c r="Z86" s="52" t="n">
        <v>8769770</v>
      </c>
      <c r="AA86" s="52" t="n">
        <v>9718445</v>
      </c>
      <c r="AB86" s="52" t="n">
        <v>8203255</v>
      </c>
      <c r="AC86" s="52" t="n">
        <v>9117975</v>
      </c>
      <c r="AD86" s="52" t="n">
        <v>14288115</v>
      </c>
      <c r="AE86" s="52" t="n">
        <v>4404700</v>
      </c>
      <c r="AF86" s="52" t="n">
        <v>10370415</v>
      </c>
      <c r="AG86" s="52" t="n">
        <v>10415165</v>
      </c>
      <c r="AH86" s="52" t="n">
        <v>10197790</v>
      </c>
      <c r="AI86" s="52" t="n">
        <v>11000450</v>
      </c>
      <c r="AJ86" s="52" t="n">
        <v>10060985</v>
      </c>
      <c r="AK86" s="52" t="n">
        <v>9969580</v>
      </c>
      <c r="AL86" s="52" t="n">
        <v>9947170</v>
      </c>
      <c r="AM86" s="52" t="n">
        <v>9089035</v>
      </c>
      <c r="AN86" s="52" t="n">
        <v>9133605</v>
      </c>
      <c r="AO86" s="52" t="n">
        <v>10809270</v>
      </c>
      <c r="AP86" s="52" t="n">
        <v>10751195</v>
      </c>
      <c r="AQ86" s="52" t="n">
        <v>9471565</v>
      </c>
      <c r="AR86" s="52" t="n">
        <v>9944550</v>
      </c>
      <c r="AS86" s="52" t="n">
        <v>9106845</v>
      </c>
      <c r="AT86" s="52" t="n">
        <v>11362520</v>
      </c>
      <c r="AU86" s="52" t="n">
        <v>9402205</v>
      </c>
      <c r="AV86" s="52" t="n">
        <v>9692480</v>
      </c>
      <c r="AW86" s="52" t="n">
        <v>9882385</v>
      </c>
      <c r="AX86" s="52" t="n">
        <v>9712620</v>
      </c>
      <c r="AY86" s="52" t="n">
        <v>9231975</v>
      </c>
      <c r="AZ86" s="52" t="n">
        <v>9680580</v>
      </c>
      <c r="BA86" s="52" t="n">
        <v>9683495</v>
      </c>
      <c r="BB86" s="52" t="n">
        <v>9743750</v>
      </c>
      <c r="BC86" s="52" t="n">
        <v>9604440</v>
      </c>
      <c r="BD86" s="52" t="n">
        <v>10390715</v>
      </c>
      <c r="BE86" s="52" t="n">
        <v>9274190</v>
      </c>
      <c r="BF86" s="52" t="n">
        <v>10107630</v>
      </c>
      <c r="BG86" s="52" t="n">
        <v>10459140</v>
      </c>
      <c r="BH86" s="52" t="n">
        <v>9834970</v>
      </c>
      <c r="BI86" s="52" t="n">
        <v>10632685</v>
      </c>
      <c r="BJ86" s="52" t="n">
        <v>9623020</v>
      </c>
      <c r="BK86" s="52" t="n">
        <v>9093230</v>
      </c>
      <c r="BL86" s="52" t="n">
        <v>10711110</v>
      </c>
      <c r="BM86" s="52" t="n">
        <v>9443330</v>
      </c>
    </row>
    <row r="87" customFormat="false" ht="15" hidden="false" customHeight="false" outlineLevel="0" collapsed="false">
      <c r="A87" s="19" t="s">
        <v>181</v>
      </c>
      <c r="B87" s="22" t="s">
        <v>338</v>
      </c>
      <c r="C87" s="19" t="s">
        <v>339</v>
      </c>
      <c r="D87" s="52" t="n">
        <v>2</v>
      </c>
      <c r="E87" s="52" t="n">
        <v>1142900</v>
      </c>
      <c r="F87" s="52" t="n">
        <v>1146349</v>
      </c>
      <c r="G87" s="52" t="n">
        <v>1037805</v>
      </c>
      <c r="H87" s="52" t="n">
        <v>1028590</v>
      </c>
      <c r="I87" s="52" t="n">
        <v>1488226</v>
      </c>
      <c r="J87" s="52" t="n">
        <v>1446864</v>
      </c>
      <c r="K87" s="52" t="n">
        <v>1183498</v>
      </c>
      <c r="L87" s="52" t="n">
        <v>486457</v>
      </c>
      <c r="M87" s="52" t="n">
        <v>1106136</v>
      </c>
      <c r="N87" s="52" t="n">
        <v>1136005</v>
      </c>
      <c r="O87" s="52" t="n">
        <v>876441</v>
      </c>
      <c r="P87" s="52" t="n">
        <v>1226628</v>
      </c>
      <c r="Q87" s="52" t="n">
        <v>973772</v>
      </c>
      <c r="R87" s="52" t="n">
        <v>1379261</v>
      </c>
      <c r="S87" s="52" t="n">
        <v>662086</v>
      </c>
      <c r="T87" s="52" t="n">
        <v>1178145</v>
      </c>
      <c r="U87" s="52" t="n">
        <v>753787</v>
      </c>
      <c r="V87" s="52" t="n">
        <v>784600</v>
      </c>
      <c r="W87" s="52" t="n">
        <v>741241</v>
      </c>
      <c r="X87" s="52" t="n">
        <v>808226</v>
      </c>
      <c r="Y87" s="52" t="n">
        <v>856508</v>
      </c>
      <c r="Z87" s="52" t="n">
        <v>834227</v>
      </c>
      <c r="AA87" s="52" t="n">
        <v>468003</v>
      </c>
      <c r="AB87" s="52" t="n">
        <v>830988</v>
      </c>
      <c r="AC87" s="52" t="n">
        <v>674370</v>
      </c>
      <c r="AD87" s="52" t="n">
        <v>777942</v>
      </c>
      <c r="AE87" s="52" t="n">
        <v>415623</v>
      </c>
      <c r="AF87" s="52" t="n">
        <v>525549</v>
      </c>
      <c r="AG87" s="52" t="n">
        <v>577405</v>
      </c>
      <c r="AH87" s="52" t="n">
        <v>728824</v>
      </c>
      <c r="AI87" s="52" t="n">
        <v>488076</v>
      </c>
      <c r="AJ87" s="52" t="n">
        <v>749241</v>
      </c>
      <c r="AK87" s="52" t="n">
        <v>628679</v>
      </c>
      <c r="AL87" s="52" t="n">
        <v>506949</v>
      </c>
      <c r="AM87" s="52" t="n">
        <v>721478</v>
      </c>
      <c r="AN87" s="52" t="n">
        <v>782719</v>
      </c>
      <c r="AO87" s="52" t="n">
        <v>1106324</v>
      </c>
      <c r="AP87" s="52" t="n">
        <v>520950</v>
      </c>
      <c r="AQ87" s="52" t="n">
        <v>710824</v>
      </c>
      <c r="AR87" s="52" t="n">
        <v>469549</v>
      </c>
      <c r="AS87" s="52" t="n">
        <v>577112</v>
      </c>
      <c r="AT87" s="52" t="n">
        <v>598439</v>
      </c>
      <c r="AU87" s="52" t="n">
        <v>430894</v>
      </c>
      <c r="AV87" s="52" t="n">
        <v>468677</v>
      </c>
      <c r="AW87" s="52" t="n">
        <v>685786</v>
      </c>
      <c r="AX87" s="52" t="n">
        <v>652624</v>
      </c>
      <c r="AY87" s="52" t="n">
        <v>812102</v>
      </c>
      <c r="AZ87" s="52" t="n">
        <v>455348</v>
      </c>
      <c r="BA87" s="52" t="n">
        <v>423748</v>
      </c>
      <c r="BB87" s="52" t="n">
        <v>743352</v>
      </c>
      <c r="BC87" s="52" t="n">
        <v>401751</v>
      </c>
      <c r="BD87" s="52" t="n">
        <v>639531</v>
      </c>
      <c r="BE87" s="52" t="n">
        <v>649131</v>
      </c>
      <c r="BF87" s="52" t="n">
        <v>737714</v>
      </c>
      <c r="BG87" s="52" t="n">
        <v>565492</v>
      </c>
      <c r="BH87" s="52" t="n">
        <v>720836</v>
      </c>
      <c r="BI87" s="52" t="n">
        <v>924111</v>
      </c>
      <c r="BJ87" s="52" t="n">
        <v>310637</v>
      </c>
      <c r="BK87" s="52" t="n">
        <v>589710</v>
      </c>
      <c r="BL87" s="52" t="n">
        <v>837765</v>
      </c>
      <c r="BM87" s="52" t="n">
        <v>751382</v>
      </c>
    </row>
    <row r="88" customFormat="false" ht="15" hidden="false" customHeight="false" outlineLevel="0" collapsed="false">
      <c r="A88" s="19" t="s">
        <v>181</v>
      </c>
      <c r="B88" s="22" t="s">
        <v>400</v>
      </c>
      <c r="C88" s="19" t="s">
        <v>401</v>
      </c>
      <c r="D88" s="52" t="n">
        <v>0</v>
      </c>
      <c r="E88" s="52" t="n">
        <v>6902330</v>
      </c>
      <c r="F88" s="52" t="n">
        <v>6478875</v>
      </c>
      <c r="G88" s="52" t="n">
        <v>5908965</v>
      </c>
      <c r="H88" s="52" t="n">
        <v>6721505</v>
      </c>
      <c r="I88" s="52" t="n">
        <v>6604550</v>
      </c>
      <c r="J88" s="52" t="n">
        <v>6158505</v>
      </c>
      <c r="K88" s="52" t="n">
        <v>8362440</v>
      </c>
      <c r="L88" s="52" t="n">
        <v>1485780</v>
      </c>
      <c r="M88" s="52" t="n">
        <v>6450740</v>
      </c>
      <c r="N88" s="52" t="n">
        <v>6362845</v>
      </c>
      <c r="O88" s="52" t="n">
        <v>6312625</v>
      </c>
      <c r="P88" s="52" t="n">
        <v>5988535</v>
      </c>
      <c r="Q88" s="52" t="n">
        <v>5594170</v>
      </c>
      <c r="R88" s="52" t="n">
        <v>6353525</v>
      </c>
      <c r="S88" s="52" t="n">
        <v>6389310</v>
      </c>
      <c r="T88" s="52" t="n">
        <v>5622995</v>
      </c>
      <c r="U88" s="52" t="n">
        <v>5793630</v>
      </c>
      <c r="V88" s="52" t="n">
        <v>5654660</v>
      </c>
      <c r="W88" s="52" t="n">
        <v>4376105</v>
      </c>
      <c r="X88" s="52" t="n">
        <v>4784095</v>
      </c>
      <c r="Y88" s="52" t="n">
        <v>5149700</v>
      </c>
      <c r="Z88" s="52" t="n">
        <v>4903640</v>
      </c>
      <c r="AA88" s="52" t="n">
        <v>5065525</v>
      </c>
      <c r="AB88" s="52" t="n">
        <v>4047365</v>
      </c>
      <c r="AC88" s="52" t="n">
        <v>0</v>
      </c>
      <c r="AD88" s="52" t="n">
        <v>0</v>
      </c>
      <c r="AE88" s="52" t="n">
        <v>0</v>
      </c>
      <c r="AF88" s="52" t="n">
        <v>0</v>
      </c>
      <c r="AG88" s="52" t="n">
        <v>0</v>
      </c>
      <c r="AH88" s="52" t="n">
        <v>0</v>
      </c>
      <c r="AI88" s="52" t="n">
        <v>0</v>
      </c>
      <c r="AJ88" s="52" t="n">
        <v>0</v>
      </c>
      <c r="AK88" s="52" t="n">
        <v>0</v>
      </c>
      <c r="AL88" s="52" t="n">
        <v>0</v>
      </c>
      <c r="AM88" s="52" t="n">
        <v>0</v>
      </c>
      <c r="AN88" s="52" t="n">
        <v>0</v>
      </c>
      <c r="AO88" s="52" t="n">
        <v>0</v>
      </c>
      <c r="AP88" s="52" t="n">
        <v>0</v>
      </c>
      <c r="AQ88" s="52" t="n">
        <v>0</v>
      </c>
      <c r="AR88" s="52" t="n">
        <v>0</v>
      </c>
      <c r="AS88" s="52" t="n">
        <v>0</v>
      </c>
      <c r="AT88" s="52" t="n">
        <v>0</v>
      </c>
      <c r="AU88" s="52" t="n">
        <v>0</v>
      </c>
      <c r="AV88" s="52" t="n">
        <v>0</v>
      </c>
      <c r="AW88" s="52" t="n">
        <v>0</v>
      </c>
      <c r="AX88" s="52" t="n">
        <v>0</v>
      </c>
      <c r="AY88" s="52" t="n">
        <v>0</v>
      </c>
      <c r="AZ88" s="52" t="n">
        <v>0</v>
      </c>
      <c r="BA88" s="52" t="n">
        <v>0</v>
      </c>
      <c r="BB88" s="52" t="n">
        <v>0</v>
      </c>
      <c r="BC88" s="52" t="n">
        <v>0</v>
      </c>
      <c r="BD88" s="52" t="n">
        <v>0</v>
      </c>
      <c r="BE88" s="52" t="n">
        <v>0</v>
      </c>
      <c r="BF88" s="52" t="n">
        <v>0</v>
      </c>
      <c r="BG88" s="52" t="n">
        <v>0</v>
      </c>
      <c r="BH88" s="52" t="n">
        <v>0</v>
      </c>
      <c r="BI88" s="52" t="n">
        <v>0</v>
      </c>
      <c r="BJ88" s="52" t="n">
        <v>0</v>
      </c>
      <c r="BK88" s="52" t="n">
        <v>0</v>
      </c>
      <c r="BL88" s="52" t="n">
        <v>0</v>
      </c>
      <c r="BM88" s="52" t="n">
        <v>0</v>
      </c>
    </row>
    <row r="89" customFormat="false" ht="15" hidden="false" customHeight="false" outlineLevel="0" collapsed="false">
      <c r="A89" s="19" t="s">
        <v>181</v>
      </c>
      <c r="B89" s="22" t="s">
        <v>206</v>
      </c>
      <c r="C89" s="19" t="s">
        <v>207</v>
      </c>
      <c r="D89" s="52" t="n">
        <v>49</v>
      </c>
      <c r="E89" s="52" t="n">
        <v>76136108</v>
      </c>
      <c r="F89" s="52" t="n">
        <v>77084148</v>
      </c>
      <c r="G89" s="52" t="n">
        <v>73407728</v>
      </c>
      <c r="H89" s="52" t="n">
        <v>69089198</v>
      </c>
      <c r="I89" s="52" t="n">
        <v>77187885</v>
      </c>
      <c r="J89" s="52" t="n">
        <v>89050338</v>
      </c>
      <c r="K89" s="52" t="n">
        <v>135189669</v>
      </c>
      <c r="L89" s="52" t="n">
        <v>56238992</v>
      </c>
      <c r="M89" s="52" t="n">
        <v>64550555</v>
      </c>
      <c r="N89" s="52" t="n">
        <v>83083442</v>
      </c>
      <c r="O89" s="52" t="n">
        <v>74285991</v>
      </c>
      <c r="P89" s="52" t="n">
        <v>83647780</v>
      </c>
      <c r="Q89" s="52" t="n">
        <v>79262662</v>
      </c>
      <c r="R89" s="52" t="n">
        <v>75636011</v>
      </c>
      <c r="S89" s="52" t="n">
        <v>79654052</v>
      </c>
      <c r="T89" s="52" t="n">
        <v>79984916</v>
      </c>
      <c r="U89" s="52" t="n">
        <v>76886231</v>
      </c>
      <c r="V89" s="52" t="n">
        <v>82683200</v>
      </c>
      <c r="W89" s="52" t="n">
        <v>101643768</v>
      </c>
      <c r="X89" s="52" t="n">
        <v>112107855</v>
      </c>
      <c r="Y89" s="52" t="n">
        <v>73754946</v>
      </c>
      <c r="Z89" s="52" t="n">
        <v>71013566</v>
      </c>
      <c r="AA89" s="52" t="n">
        <v>73183437</v>
      </c>
      <c r="AB89" s="52" t="n">
        <v>72675461</v>
      </c>
      <c r="AC89" s="52" t="n">
        <v>77552791</v>
      </c>
      <c r="AD89" s="52" t="n">
        <v>124500716</v>
      </c>
      <c r="AE89" s="52" t="n">
        <v>72462664</v>
      </c>
      <c r="AF89" s="52" t="n">
        <v>66667869</v>
      </c>
      <c r="AG89" s="52" t="n">
        <v>78857206</v>
      </c>
      <c r="AH89" s="52" t="n">
        <v>77084294</v>
      </c>
      <c r="AI89" s="52" t="n">
        <v>78703827</v>
      </c>
      <c r="AJ89" s="52" t="n">
        <v>88674780</v>
      </c>
      <c r="AK89" s="52" t="n">
        <v>81220538</v>
      </c>
      <c r="AL89" s="52" t="n">
        <v>90477861</v>
      </c>
      <c r="AM89" s="52" t="n">
        <v>87354821</v>
      </c>
      <c r="AN89" s="52" t="n">
        <v>83547771</v>
      </c>
      <c r="AO89" s="52" t="n">
        <v>108144569</v>
      </c>
      <c r="AP89" s="52" t="n">
        <v>144989261</v>
      </c>
      <c r="AQ89" s="52" t="n">
        <v>112355228</v>
      </c>
      <c r="AR89" s="52" t="n">
        <v>93509691</v>
      </c>
      <c r="AS89" s="52" t="n">
        <v>94137203</v>
      </c>
      <c r="AT89" s="52" t="n">
        <v>86206960</v>
      </c>
      <c r="AU89" s="52" t="n">
        <v>85247531</v>
      </c>
      <c r="AV89" s="52" t="n">
        <v>89539520</v>
      </c>
      <c r="AW89" s="52" t="n">
        <v>82696798</v>
      </c>
      <c r="AX89" s="52" t="n">
        <v>84415161</v>
      </c>
      <c r="AY89" s="52" t="n">
        <v>72744055</v>
      </c>
      <c r="AZ89" s="52" t="n">
        <v>79818162</v>
      </c>
      <c r="BA89" s="52" t="n">
        <v>73453292</v>
      </c>
      <c r="BB89" s="52" t="n">
        <v>79840904</v>
      </c>
      <c r="BC89" s="52" t="n">
        <v>86283492</v>
      </c>
      <c r="BD89" s="52" t="n">
        <v>86714001</v>
      </c>
      <c r="BE89" s="52" t="n">
        <v>84171395</v>
      </c>
      <c r="BF89" s="52" t="n">
        <v>78533451</v>
      </c>
      <c r="BG89" s="52" t="n">
        <v>76194439</v>
      </c>
      <c r="BH89" s="52" t="n">
        <v>68265416</v>
      </c>
      <c r="BI89" s="52" t="n">
        <v>84363290</v>
      </c>
      <c r="BJ89" s="52" t="n">
        <v>93419581</v>
      </c>
      <c r="BK89" s="52" t="n">
        <v>66519590</v>
      </c>
      <c r="BL89" s="52" t="n">
        <v>78124280</v>
      </c>
      <c r="BM89" s="52" t="n">
        <v>75092601</v>
      </c>
    </row>
    <row r="90" customFormat="false" ht="15" hidden="false" customHeight="false" outlineLevel="0" collapsed="false">
      <c r="A90" s="19" t="s">
        <v>181</v>
      </c>
      <c r="B90" s="22" t="s">
        <v>402</v>
      </c>
      <c r="C90" s="19" t="s">
        <v>403</v>
      </c>
      <c r="D90" s="52" t="n">
        <v>0</v>
      </c>
      <c r="E90" s="52" t="n">
        <v>2621798</v>
      </c>
      <c r="F90" s="52" t="n">
        <v>1889186</v>
      </c>
      <c r="G90" s="52" t="n">
        <v>1592724</v>
      </c>
      <c r="H90" s="52" t="n">
        <v>1540493</v>
      </c>
      <c r="I90" s="52" t="n">
        <v>2581390</v>
      </c>
      <c r="J90" s="52" t="n">
        <v>2786722</v>
      </c>
      <c r="K90" s="52" t="n">
        <v>2332591</v>
      </c>
      <c r="L90" s="52" t="n">
        <v>1236869</v>
      </c>
      <c r="M90" s="52" t="n">
        <v>2575569</v>
      </c>
      <c r="N90" s="52" t="n">
        <v>2114113</v>
      </c>
      <c r="O90" s="52" t="n">
        <v>2329023</v>
      </c>
      <c r="P90" s="52" t="n">
        <v>1575711</v>
      </c>
      <c r="Q90" s="52" t="n">
        <v>2084854</v>
      </c>
      <c r="R90" s="52" t="n">
        <v>1935264</v>
      </c>
      <c r="S90" s="52" t="n">
        <v>2043148</v>
      </c>
      <c r="T90" s="52" t="n">
        <v>0</v>
      </c>
      <c r="U90" s="52" t="n">
        <v>0</v>
      </c>
      <c r="V90" s="52" t="n">
        <v>0</v>
      </c>
      <c r="W90" s="52" t="n">
        <v>0</v>
      </c>
      <c r="X90" s="52" t="n">
        <v>0</v>
      </c>
      <c r="Y90" s="52" t="n">
        <v>0</v>
      </c>
      <c r="Z90" s="52" t="n">
        <v>0</v>
      </c>
      <c r="AA90" s="52" t="n">
        <v>0</v>
      </c>
      <c r="AB90" s="52" t="n">
        <v>0</v>
      </c>
      <c r="AC90" s="52" t="n">
        <v>0</v>
      </c>
      <c r="AD90" s="52" t="n">
        <v>0</v>
      </c>
      <c r="AE90" s="52" t="n">
        <v>0</v>
      </c>
      <c r="AF90" s="52" t="n">
        <v>0</v>
      </c>
      <c r="AG90" s="52" t="n">
        <v>0</v>
      </c>
      <c r="AH90" s="52" t="n">
        <v>0</v>
      </c>
      <c r="AI90" s="52" t="n">
        <v>0</v>
      </c>
      <c r="AJ90" s="52" t="n">
        <v>0</v>
      </c>
      <c r="AK90" s="52" t="n">
        <v>0</v>
      </c>
      <c r="AL90" s="52" t="n">
        <v>0</v>
      </c>
      <c r="AM90" s="52" t="n">
        <v>0</v>
      </c>
      <c r="AN90" s="52" t="n">
        <v>0</v>
      </c>
      <c r="AO90" s="52" t="n">
        <v>0</v>
      </c>
      <c r="AP90" s="52" t="n">
        <v>0</v>
      </c>
      <c r="AQ90" s="52" t="n">
        <v>0</v>
      </c>
      <c r="AR90" s="52" t="n">
        <v>0</v>
      </c>
      <c r="AS90" s="52" t="n">
        <v>0</v>
      </c>
      <c r="AT90" s="52" t="n">
        <v>0</v>
      </c>
      <c r="AU90" s="52" t="n">
        <v>0</v>
      </c>
      <c r="AV90" s="52" t="n">
        <v>0</v>
      </c>
      <c r="AW90" s="52" t="n">
        <v>0</v>
      </c>
      <c r="AX90" s="52" t="n">
        <v>0</v>
      </c>
      <c r="AY90" s="52" t="n">
        <v>0</v>
      </c>
      <c r="AZ90" s="52" t="n">
        <v>0</v>
      </c>
      <c r="BA90" s="52" t="n">
        <v>0</v>
      </c>
      <c r="BB90" s="52" t="n">
        <v>0</v>
      </c>
      <c r="BC90" s="52" t="n">
        <v>0</v>
      </c>
      <c r="BD90" s="52" t="n">
        <v>0</v>
      </c>
      <c r="BE90" s="52" t="n">
        <v>0</v>
      </c>
      <c r="BF90" s="52" t="n">
        <v>0</v>
      </c>
      <c r="BG90" s="52" t="n">
        <v>0</v>
      </c>
      <c r="BH90" s="52" t="n">
        <v>0</v>
      </c>
      <c r="BI90" s="52" t="n">
        <v>0</v>
      </c>
      <c r="BJ90" s="52" t="n">
        <v>0</v>
      </c>
      <c r="BK90" s="52" t="n">
        <v>0</v>
      </c>
      <c r="BL90" s="52" t="n">
        <v>0</v>
      </c>
      <c r="BM90" s="52" t="n">
        <v>0</v>
      </c>
    </row>
    <row r="91" customFormat="false" ht="15" hidden="false" customHeight="false" outlineLevel="0" collapsed="false">
      <c r="A91" s="19" t="s">
        <v>181</v>
      </c>
      <c r="B91" s="22" t="s">
        <v>235</v>
      </c>
      <c r="C91" s="19" t="s">
        <v>236</v>
      </c>
      <c r="D91" s="52" t="n">
        <v>20</v>
      </c>
      <c r="E91" s="52" t="n">
        <v>18092546</v>
      </c>
      <c r="F91" s="52" t="n">
        <v>17182792</v>
      </c>
      <c r="G91" s="52" t="n">
        <v>24899676</v>
      </c>
      <c r="H91" s="52" t="n">
        <v>15793986</v>
      </c>
      <c r="I91" s="52" t="n">
        <v>18931822</v>
      </c>
      <c r="J91" s="52" t="n">
        <v>22828101</v>
      </c>
      <c r="K91" s="52" t="n">
        <v>32243319</v>
      </c>
      <c r="L91" s="52" t="n">
        <v>14948162</v>
      </c>
      <c r="M91" s="52" t="n">
        <v>18539282</v>
      </c>
      <c r="N91" s="52" t="n">
        <v>16740164</v>
      </c>
      <c r="O91" s="52" t="n">
        <v>23337004</v>
      </c>
      <c r="P91" s="52" t="n">
        <v>25426526</v>
      </c>
      <c r="Q91" s="52" t="n">
        <v>23548577</v>
      </c>
      <c r="R91" s="52" t="n">
        <v>18372994</v>
      </c>
      <c r="S91" s="52" t="n">
        <v>24330507</v>
      </c>
      <c r="T91" s="52" t="n">
        <v>24964634</v>
      </c>
      <c r="U91" s="52" t="n">
        <v>23460726</v>
      </c>
      <c r="V91" s="52" t="n">
        <v>24560524</v>
      </c>
      <c r="W91" s="52" t="n">
        <v>26666239</v>
      </c>
      <c r="X91" s="52" t="n">
        <v>18686422</v>
      </c>
      <c r="Y91" s="52" t="n">
        <v>21364698</v>
      </c>
      <c r="Z91" s="52" t="n">
        <v>18076996</v>
      </c>
      <c r="AA91" s="52" t="n">
        <v>19434188</v>
      </c>
      <c r="AB91" s="52" t="n">
        <v>18522190</v>
      </c>
      <c r="AC91" s="52" t="n">
        <v>20873995</v>
      </c>
      <c r="AD91" s="52" t="n">
        <v>24157609</v>
      </c>
      <c r="AE91" s="52" t="n">
        <v>18009350</v>
      </c>
      <c r="AF91" s="52" t="n">
        <v>24932553</v>
      </c>
      <c r="AG91" s="52" t="n">
        <v>20280536</v>
      </c>
      <c r="AH91" s="52" t="n">
        <v>19926344</v>
      </c>
      <c r="AI91" s="52" t="n">
        <v>23827048</v>
      </c>
      <c r="AJ91" s="52" t="n">
        <v>19551387</v>
      </c>
      <c r="AK91" s="52" t="n">
        <v>20386583</v>
      </c>
      <c r="AL91" s="52" t="n">
        <v>18023595</v>
      </c>
      <c r="AM91" s="52" t="n">
        <v>17165599</v>
      </c>
      <c r="AN91" s="52" t="n">
        <v>20476072</v>
      </c>
      <c r="AO91" s="52" t="n">
        <v>19060427</v>
      </c>
      <c r="AP91" s="52" t="n">
        <v>19898176</v>
      </c>
      <c r="AQ91" s="52" t="n">
        <v>16979586</v>
      </c>
      <c r="AR91" s="52" t="n">
        <v>17830846</v>
      </c>
      <c r="AS91" s="52" t="n">
        <v>19757405</v>
      </c>
      <c r="AT91" s="52" t="n">
        <v>20617307</v>
      </c>
      <c r="AU91" s="52" t="n">
        <v>22178115</v>
      </c>
      <c r="AV91" s="52" t="n">
        <v>21936235</v>
      </c>
      <c r="AW91" s="52" t="n">
        <v>27571200</v>
      </c>
      <c r="AX91" s="52" t="n">
        <v>21481509</v>
      </c>
      <c r="AY91" s="52" t="n">
        <v>23971451</v>
      </c>
      <c r="AZ91" s="52" t="n">
        <v>18693946</v>
      </c>
      <c r="BA91" s="52" t="n">
        <v>23396711</v>
      </c>
      <c r="BB91" s="52" t="n">
        <v>18864831</v>
      </c>
      <c r="BC91" s="52" t="n">
        <v>23229256</v>
      </c>
      <c r="BD91" s="52" t="n">
        <v>20017355</v>
      </c>
      <c r="BE91" s="52" t="n">
        <v>20735047</v>
      </c>
      <c r="BF91" s="52" t="n">
        <v>19730521</v>
      </c>
      <c r="BG91" s="52" t="n">
        <v>22253470</v>
      </c>
      <c r="BH91" s="52" t="n">
        <v>19843330</v>
      </c>
      <c r="BI91" s="52" t="n">
        <v>23765319</v>
      </c>
      <c r="BJ91" s="52" t="n">
        <v>22170177</v>
      </c>
      <c r="BK91" s="52" t="n">
        <v>18613887</v>
      </c>
      <c r="BL91" s="52" t="n">
        <v>23493511</v>
      </c>
      <c r="BM91" s="52" t="n">
        <v>20265472</v>
      </c>
    </row>
    <row r="92" customFormat="false" ht="15" hidden="false" customHeight="false" outlineLevel="0" collapsed="false">
      <c r="A92" s="19" t="s">
        <v>181</v>
      </c>
      <c r="B92" s="22" t="s">
        <v>354</v>
      </c>
      <c r="C92" s="22" t="s">
        <v>355</v>
      </c>
      <c r="D92" s="52" t="n">
        <v>1</v>
      </c>
      <c r="E92" s="52" t="n">
        <v>711090</v>
      </c>
      <c r="F92" s="52" t="n">
        <v>0</v>
      </c>
      <c r="G92" s="52" t="n">
        <v>905418</v>
      </c>
      <c r="H92" s="52" t="n">
        <v>185880</v>
      </c>
      <c r="I92" s="52" t="n">
        <v>456618</v>
      </c>
      <c r="J92" s="52" t="n">
        <v>474727</v>
      </c>
      <c r="K92" s="52" t="n">
        <v>633438</v>
      </c>
      <c r="L92" s="52" t="n">
        <v>444563</v>
      </c>
      <c r="M92" s="52" t="n">
        <v>914490</v>
      </c>
      <c r="N92" s="52" t="n">
        <v>914190</v>
      </c>
      <c r="O92" s="52" t="n">
        <v>660654</v>
      </c>
      <c r="P92" s="52" t="n">
        <v>0</v>
      </c>
      <c r="Q92" s="52" t="n">
        <v>1172508</v>
      </c>
      <c r="R92" s="52" t="n">
        <v>454912</v>
      </c>
      <c r="S92" s="52" t="n">
        <v>906072</v>
      </c>
      <c r="T92" s="52" t="n">
        <v>0</v>
      </c>
      <c r="U92" s="52" t="n">
        <v>883571</v>
      </c>
      <c r="V92" s="52" t="n">
        <v>443514</v>
      </c>
      <c r="W92" s="52" t="n">
        <v>404608</v>
      </c>
      <c r="X92" s="52" t="n">
        <v>0</v>
      </c>
      <c r="Y92" s="52" t="n">
        <v>380701</v>
      </c>
      <c r="Z92" s="52" t="n">
        <v>160454</v>
      </c>
      <c r="AA92" s="52" t="n">
        <v>203320</v>
      </c>
      <c r="AB92" s="52" t="n">
        <v>0</v>
      </c>
      <c r="AC92" s="52" t="n">
        <v>268828</v>
      </c>
      <c r="AD92" s="52" t="n">
        <v>276735</v>
      </c>
      <c r="AE92" s="52" t="n">
        <v>0</v>
      </c>
      <c r="AF92" s="52" t="n">
        <v>260838</v>
      </c>
      <c r="AG92" s="52" t="n">
        <v>0</v>
      </c>
      <c r="AH92" s="52" t="n">
        <v>231800</v>
      </c>
      <c r="AI92" s="52" t="n">
        <v>0</v>
      </c>
      <c r="AJ92" s="52" t="n">
        <v>224766</v>
      </c>
      <c r="AK92" s="52" t="n">
        <v>0</v>
      </c>
      <c r="AL92" s="52" t="n">
        <v>338726</v>
      </c>
      <c r="AM92" s="52" t="n">
        <v>0</v>
      </c>
      <c r="AN92" s="52" t="n">
        <v>0</v>
      </c>
      <c r="AO92" s="52" t="n">
        <v>272038</v>
      </c>
      <c r="AP92" s="52" t="n">
        <v>269236</v>
      </c>
      <c r="AQ92" s="52" t="n">
        <v>276457</v>
      </c>
      <c r="AR92" s="52" t="n">
        <v>0</v>
      </c>
      <c r="AS92" s="52" t="n">
        <v>362337</v>
      </c>
      <c r="AT92" s="52" t="n">
        <v>0</v>
      </c>
      <c r="AU92" s="52" t="n">
        <v>325220</v>
      </c>
      <c r="AV92" s="52" t="n">
        <v>0</v>
      </c>
      <c r="AW92" s="52" t="n">
        <v>367602</v>
      </c>
      <c r="AX92" s="52" t="n">
        <v>0</v>
      </c>
      <c r="AY92" s="52" t="n">
        <v>278602</v>
      </c>
      <c r="AZ92" s="52" t="n">
        <v>0</v>
      </c>
      <c r="BA92" s="52" t="n">
        <v>263399</v>
      </c>
      <c r="BB92" s="52" t="n">
        <v>0</v>
      </c>
      <c r="BC92" s="52" t="n">
        <v>281548</v>
      </c>
      <c r="BD92" s="52" t="n">
        <v>0</v>
      </c>
      <c r="BE92" s="52" t="n">
        <v>409729</v>
      </c>
      <c r="BF92" s="52" t="n">
        <v>0</v>
      </c>
      <c r="BG92" s="52" t="n">
        <v>0</v>
      </c>
      <c r="BH92" s="52" t="n">
        <v>0</v>
      </c>
      <c r="BI92" s="52" t="n">
        <v>409838</v>
      </c>
      <c r="BJ92" s="52" t="n">
        <v>0</v>
      </c>
      <c r="BK92" s="52" t="n">
        <v>218784</v>
      </c>
      <c r="BL92" s="52" t="n">
        <v>0</v>
      </c>
      <c r="BM92" s="52" t="n">
        <v>98636</v>
      </c>
    </row>
    <row r="93" customFormat="false" ht="15" hidden="false" customHeight="false" outlineLevel="0" collapsed="false">
      <c r="A93" s="19" t="s">
        <v>181</v>
      </c>
      <c r="B93" s="22" t="s">
        <v>208</v>
      </c>
      <c r="C93" s="19" t="s">
        <v>209</v>
      </c>
      <c r="D93" s="52" t="n">
        <v>39</v>
      </c>
      <c r="E93" s="52" t="n">
        <v>82470760</v>
      </c>
      <c r="F93" s="52" t="n">
        <v>73090247</v>
      </c>
      <c r="G93" s="52" t="n">
        <v>77770980</v>
      </c>
      <c r="H93" s="52" t="n">
        <v>79098985</v>
      </c>
      <c r="I93" s="52" t="n">
        <v>83481688</v>
      </c>
      <c r="J93" s="52" t="n">
        <v>105087771</v>
      </c>
      <c r="K93" s="52" t="n">
        <v>123598913</v>
      </c>
      <c r="L93" s="52" t="n">
        <v>42289061</v>
      </c>
      <c r="M93" s="52" t="n">
        <v>57309608</v>
      </c>
      <c r="N93" s="52" t="n">
        <v>83885156</v>
      </c>
      <c r="O93" s="52" t="n">
        <v>78625605</v>
      </c>
      <c r="P93" s="52" t="n">
        <v>66338697</v>
      </c>
      <c r="Q93" s="52" t="n">
        <v>76466839</v>
      </c>
      <c r="R93" s="52" t="n">
        <v>63212272</v>
      </c>
      <c r="S93" s="52" t="n">
        <v>72586365</v>
      </c>
      <c r="T93" s="52" t="n">
        <v>64338406</v>
      </c>
      <c r="U93" s="52" t="n">
        <v>81486015</v>
      </c>
      <c r="V93" s="52" t="n">
        <v>78196900</v>
      </c>
      <c r="W93" s="52" t="n">
        <v>85118855</v>
      </c>
      <c r="X93" s="52" t="n">
        <v>83524621</v>
      </c>
      <c r="Y93" s="52" t="n">
        <v>68867739</v>
      </c>
      <c r="Z93" s="52" t="n">
        <v>66407051</v>
      </c>
      <c r="AA93" s="52" t="n">
        <v>66820029</v>
      </c>
      <c r="AB93" s="52" t="n">
        <v>54341019</v>
      </c>
      <c r="AC93" s="52" t="n">
        <v>70225535</v>
      </c>
      <c r="AD93" s="52" t="n">
        <v>109730851</v>
      </c>
      <c r="AE93" s="52" t="n">
        <v>41088611</v>
      </c>
      <c r="AF93" s="52" t="n">
        <v>65921292</v>
      </c>
      <c r="AG93" s="52" t="n">
        <v>58568269</v>
      </c>
      <c r="AH93" s="52" t="n">
        <v>67483174</v>
      </c>
      <c r="AI93" s="52" t="n">
        <v>62798708</v>
      </c>
      <c r="AJ93" s="52" t="n">
        <v>79509077</v>
      </c>
      <c r="AK93" s="52" t="n">
        <v>66573475</v>
      </c>
      <c r="AL93" s="52" t="n">
        <v>74932434</v>
      </c>
      <c r="AM93" s="52" t="n">
        <v>52679370</v>
      </c>
      <c r="AN93" s="52" t="n">
        <v>83084142</v>
      </c>
      <c r="AO93" s="52" t="n">
        <v>89148523</v>
      </c>
      <c r="AP93" s="52" t="n">
        <v>106533274</v>
      </c>
      <c r="AQ93" s="52" t="n">
        <v>83557914</v>
      </c>
      <c r="AR93" s="52" t="n">
        <v>83269039</v>
      </c>
      <c r="AS93" s="52" t="n">
        <v>78678558</v>
      </c>
      <c r="AT93" s="52" t="n">
        <v>71755726</v>
      </c>
      <c r="AU93" s="52" t="n">
        <v>77163676</v>
      </c>
      <c r="AV93" s="52" t="n">
        <v>70313157</v>
      </c>
      <c r="AW93" s="52" t="n">
        <v>72291277</v>
      </c>
      <c r="AX93" s="52" t="n">
        <v>57657859</v>
      </c>
      <c r="AY93" s="52" t="n">
        <v>83426291</v>
      </c>
      <c r="AZ93" s="52" t="n">
        <v>73705471</v>
      </c>
      <c r="BA93" s="52" t="n">
        <v>73683163</v>
      </c>
      <c r="BB93" s="52" t="n">
        <v>72126581</v>
      </c>
      <c r="BC93" s="52" t="n">
        <v>84003741</v>
      </c>
      <c r="BD93" s="52" t="n">
        <v>91771058</v>
      </c>
      <c r="BE93" s="52" t="n">
        <v>78173262</v>
      </c>
      <c r="BF93" s="52" t="n">
        <v>71990232</v>
      </c>
      <c r="BG93" s="52" t="n">
        <v>70176735</v>
      </c>
      <c r="BH93" s="52" t="n">
        <v>83085995</v>
      </c>
      <c r="BI93" s="52" t="n">
        <v>91252317</v>
      </c>
      <c r="BJ93" s="52" t="n">
        <v>72888147</v>
      </c>
      <c r="BK93" s="52" t="n">
        <v>53368793</v>
      </c>
      <c r="BL93" s="52" t="n">
        <v>76162779</v>
      </c>
      <c r="BM93" s="52" t="n">
        <v>76920879</v>
      </c>
    </row>
    <row r="94" customFormat="false" ht="15" hidden="false" customHeight="false" outlineLevel="0" collapsed="false">
      <c r="A94" s="19" t="s">
        <v>181</v>
      </c>
      <c r="B94" s="22" t="s">
        <v>404</v>
      </c>
      <c r="C94" s="22" t="s">
        <v>405</v>
      </c>
      <c r="D94" s="52" t="n">
        <v>0</v>
      </c>
      <c r="E94" s="52" t="n">
        <v>5683760</v>
      </c>
      <c r="F94" s="52" t="n">
        <v>5217000</v>
      </c>
      <c r="G94" s="52" t="n">
        <v>4407000</v>
      </c>
      <c r="H94" s="52" t="n">
        <v>2517900</v>
      </c>
      <c r="I94" s="52" t="n">
        <v>7040670</v>
      </c>
      <c r="J94" s="52" t="n">
        <v>0</v>
      </c>
      <c r="K94" s="52" t="n">
        <v>0</v>
      </c>
      <c r="L94" s="52" t="n">
        <v>0</v>
      </c>
      <c r="M94" s="52" t="n">
        <v>0</v>
      </c>
      <c r="N94" s="52" t="n">
        <v>0</v>
      </c>
      <c r="O94" s="52" t="n">
        <v>0</v>
      </c>
      <c r="P94" s="52" t="n">
        <v>0</v>
      </c>
      <c r="Q94" s="52" t="n">
        <v>0</v>
      </c>
      <c r="R94" s="52" t="n">
        <v>0</v>
      </c>
      <c r="S94" s="52" t="n">
        <v>0</v>
      </c>
      <c r="T94" s="52" t="n">
        <v>0</v>
      </c>
      <c r="U94" s="52" t="n">
        <v>0</v>
      </c>
      <c r="V94" s="52" t="n">
        <v>0</v>
      </c>
      <c r="W94" s="52" t="n">
        <v>0</v>
      </c>
      <c r="X94" s="52" t="n">
        <v>0</v>
      </c>
      <c r="Y94" s="52" t="n">
        <v>0</v>
      </c>
      <c r="Z94" s="52" t="n">
        <v>0</v>
      </c>
      <c r="AA94" s="52" t="n">
        <v>0</v>
      </c>
      <c r="AB94" s="52" t="n">
        <v>0</v>
      </c>
      <c r="AC94" s="52" t="n">
        <v>0</v>
      </c>
      <c r="AD94" s="52" t="n">
        <v>0</v>
      </c>
      <c r="AE94" s="52" t="n">
        <v>0</v>
      </c>
      <c r="AF94" s="52" t="n">
        <v>0</v>
      </c>
      <c r="AG94" s="52" t="n">
        <v>0</v>
      </c>
      <c r="AH94" s="52" t="n">
        <v>0</v>
      </c>
      <c r="AI94" s="52" t="n">
        <v>0</v>
      </c>
      <c r="AJ94" s="52" t="n">
        <v>0</v>
      </c>
      <c r="AK94" s="52" t="n">
        <v>0</v>
      </c>
      <c r="AL94" s="52" t="n">
        <v>0</v>
      </c>
      <c r="AM94" s="52" t="n">
        <v>0</v>
      </c>
      <c r="AN94" s="52" t="n">
        <v>0</v>
      </c>
      <c r="AO94" s="52" t="n">
        <v>0</v>
      </c>
      <c r="AP94" s="52" t="n">
        <v>0</v>
      </c>
      <c r="AQ94" s="52" t="n">
        <v>0</v>
      </c>
      <c r="AR94" s="52" t="n">
        <v>0</v>
      </c>
      <c r="AS94" s="52" t="n">
        <v>0</v>
      </c>
      <c r="AT94" s="52" t="n">
        <v>0</v>
      </c>
      <c r="AU94" s="52" t="n">
        <v>0</v>
      </c>
      <c r="AV94" s="52" t="n">
        <v>0</v>
      </c>
      <c r="AW94" s="52" t="n">
        <v>0</v>
      </c>
      <c r="AX94" s="52" t="n">
        <v>0</v>
      </c>
      <c r="AY94" s="52" t="n">
        <v>0</v>
      </c>
      <c r="AZ94" s="52" t="n">
        <v>0</v>
      </c>
      <c r="BA94" s="52" t="n">
        <v>0</v>
      </c>
      <c r="BB94" s="52" t="n">
        <v>0</v>
      </c>
      <c r="BC94" s="52" t="n">
        <v>0</v>
      </c>
      <c r="BD94" s="52" t="n">
        <v>0</v>
      </c>
      <c r="BE94" s="52" t="n">
        <v>0</v>
      </c>
      <c r="BF94" s="52" t="n">
        <v>0</v>
      </c>
      <c r="BG94" s="52" t="n">
        <v>0</v>
      </c>
      <c r="BH94" s="52" t="n">
        <v>0</v>
      </c>
      <c r="BI94" s="52" t="n">
        <v>0</v>
      </c>
      <c r="BJ94" s="52" t="n">
        <v>0</v>
      </c>
      <c r="BK94" s="52" t="n">
        <v>0</v>
      </c>
      <c r="BL94" s="52" t="n">
        <v>0</v>
      </c>
      <c r="BM94" s="52" t="n">
        <v>0</v>
      </c>
    </row>
    <row r="95" customFormat="false" ht="15" hidden="false" customHeight="false" outlineLevel="0" collapsed="false">
      <c r="A95" s="19" t="s">
        <v>181</v>
      </c>
      <c r="B95" s="22" t="s">
        <v>203</v>
      </c>
      <c r="C95" s="19" t="s">
        <v>69</v>
      </c>
      <c r="D95" s="52" t="n">
        <v>36</v>
      </c>
      <c r="E95" s="52" t="n">
        <v>150172453</v>
      </c>
      <c r="F95" s="52" t="n">
        <v>147660802</v>
      </c>
      <c r="G95" s="52" t="n">
        <v>147619943</v>
      </c>
      <c r="H95" s="52" t="n">
        <v>144496287</v>
      </c>
      <c r="I95" s="52" t="n">
        <v>148823949</v>
      </c>
      <c r="J95" s="52" t="n">
        <v>149722641</v>
      </c>
      <c r="K95" s="52" t="n">
        <v>205060516</v>
      </c>
      <c r="L95" s="52" t="n">
        <v>88634592</v>
      </c>
      <c r="M95" s="52" t="n">
        <v>145666160</v>
      </c>
      <c r="N95" s="52" t="n">
        <v>138196251</v>
      </c>
      <c r="O95" s="52" t="n">
        <v>141096088</v>
      </c>
      <c r="P95" s="52" t="n">
        <v>143015946</v>
      </c>
      <c r="Q95" s="52" t="n">
        <v>137534250</v>
      </c>
      <c r="R95" s="52" t="n">
        <v>134093494</v>
      </c>
      <c r="S95" s="52" t="n">
        <v>139375752</v>
      </c>
      <c r="T95" s="52" t="n">
        <v>131181440</v>
      </c>
      <c r="U95" s="52" t="n">
        <v>132568036</v>
      </c>
      <c r="V95" s="52" t="n">
        <v>139649120</v>
      </c>
      <c r="W95" s="52" t="n">
        <v>136233096</v>
      </c>
      <c r="X95" s="52" t="n">
        <v>141817032</v>
      </c>
      <c r="Y95" s="52" t="n">
        <v>126386258</v>
      </c>
      <c r="Z95" s="52" t="n">
        <v>134456364</v>
      </c>
      <c r="AA95" s="52" t="n">
        <v>135006236</v>
      </c>
      <c r="AB95" s="52" t="n">
        <v>138995050</v>
      </c>
      <c r="AC95" s="52" t="n">
        <v>131497629</v>
      </c>
      <c r="AD95" s="52" t="n">
        <v>148819978</v>
      </c>
      <c r="AE95" s="52" t="n">
        <v>105954633</v>
      </c>
      <c r="AF95" s="52" t="n">
        <v>109858114</v>
      </c>
      <c r="AG95" s="52" t="n">
        <v>114893140</v>
      </c>
      <c r="AH95" s="52" t="n">
        <v>121986922</v>
      </c>
      <c r="AI95" s="52" t="n">
        <v>127072443</v>
      </c>
      <c r="AJ95" s="52" t="n">
        <v>123226152</v>
      </c>
      <c r="AK95" s="52" t="n">
        <v>120040189</v>
      </c>
      <c r="AL95" s="52" t="n">
        <v>123145677</v>
      </c>
      <c r="AM95" s="52" t="n">
        <v>115573139</v>
      </c>
      <c r="AN95" s="52" t="n">
        <v>113505116</v>
      </c>
      <c r="AO95" s="52" t="n">
        <v>121971466</v>
      </c>
      <c r="AP95" s="52" t="n">
        <v>126980517</v>
      </c>
      <c r="AQ95" s="52" t="n">
        <v>111587259</v>
      </c>
      <c r="AR95" s="52" t="n">
        <v>105282638</v>
      </c>
      <c r="AS95" s="52" t="n">
        <v>110699878</v>
      </c>
      <c r="AT95" s="52" t="n">
        <v>115457456</v>
      </c>
      <c r="AU95" s="52" t="n">
        <v>113529966</v>
      </c>
      <c r="AV95" s="52" t="n">
        <v>113619150</v>
      </c>
      <c r="AW95" s="52" t="n">
        <v>119367212</v>
      </c>
      <c r="AX95" s="52" t="n">
        <v>112780389</v>
      </c>
      <c r="AY95" s="52" t="n">
        <v>115658877</v>
      </c>
      <c r="AZ95" s="52" t="n">
        <v>115739919</v>
      </c>
      <c r="BA95" s="52" t="n">
        <v>127858966</v>
      </c>
      <c r="BB95" s="52" t="n">
        <v>109612304</v>
      </c>
      <c r="BC95" s="52" t="n">
        <v>119620211</v>
      </c>
      <c r="BD95" s="52" t="n">
        <v>114355384</v>
      </c>
      <c r="BE95" s="52" t="n">
        <v>111704264</v>
      </c>
      <c r="BF95" s="52" t="n">
        <v>111850894</v>
      </c>
      <c r="BG95" s="52" t="n">
        <v>105902448</v>
      </c>
      <c r="BH95" s="52" t="n">
        <v>99759029</v>
      </c>
      <c r="BI95" s="52" t="n">
        <v>92847545</v>
      </c>
      <c r="BJ95" s="52" t="n">
        <v>105862671</v>
      </c>
      <c r="BK95" s="52" t="n">
        <v>80170333</v>
      </c>
      <c r="BL95" s="52" t="n">
        <v>96910082</v>
      </c>
      <c r="BM95" s="52" t="n">
        <v>104431901</v>
      </c>
    </row>
    <row r="96" customFormat="false" ht="15" hidden="false" customHeight="false" outlineLevel="0" collapsed="false">
      <c r="A96" s="19" t="s">
        <v>181</v>
      </c>
      <c r="B96" s="22" t="s">
        <v>239</v>
      </c>
      <c r="C96" s="19" t="s">
        <v>240</v>
      </c>
      <c r="D96" s="52" t="n">
        <v>25</v>
      </c>
      <c r="E96" s="52" t="n">
        <v>29658260</v>
      </c>
      <c r="F96" s="52" t="n">
        <v>25832693</v>
      </c>
      <c r="G96" s="52" t="n">
        <v>28687260</v>
      </c>
      <c r="H96" s="52" t="n">
        <v>25583795</v>
      </c>
      <c r="I96" s="52" t="n">
        <v>29731405</v>
      </c>
      <c r="J96" s="52" t="n">
        <v>30406755</v>
      </c>
      <c r="K96" s="52" t="n">
        <v>48042175</v>
      </c>
      <c r="L96" s="52" t="n">
        <v>21451715</v>
      </c>
      <c r="M96" s="52" t="n">
        <v>19199565</v>
      </c>
      <c r="N96" s="52" t="n">
        <v>20275710</v>
      </c>
      <c r="O96" s="52" t="n">
        <v>21396885</v>
      </c>
      <c r="P96" s="52" t="n">
        <v>26326365</v>
      </c>
      <c r="Q96" s="52" t="n">
        <v>19425317</v>
      </c>
      <c r="R96" s="52" t="n">
        <v>21806718</v>
      </c>
      <c r="S96" s="52" t="n">
        <v>18694279</v>
      </c>
      <c r="T96" s="52" t="n">
        <v>21081820</v>
      </c>
      <c r="U96" s="52" t="n">
        <v>19985106</v>
      </c>
      <c r="V96" s="52" t="n">
        <v>22945356</v>
      </c>
      <c r="W96" s="52" t="n">
        <v>27523537</v>
      </c>
      <c r="X96" s="52" t="n">
        <v>26454347</v>
      </c>
      <c r="Y96" s="52" t="n">
        <v>27982215</v>
      </c>
      <c r="Z96" s="52" t="n">
        <v>22297660</v>
      </c>
      <c r="AA96" s="52" t="n">
        <v>21028986</v>
      </c>
      <c r="AB96" s="52" t="n">
        <v>18905290</v>
      </c>
      <c r="AC96" s="52" t="n">
        <v>19416414</v>
      </c>
      <c r="AD96" s="52" t="n">
        <v>38378272</v>
      </c>
      <c r="AE96" s="52" t="n">
        <v>14040315</v>
      </c>
      <c r="AF96" s="52" t="n">
        <v>21149799</v>
      </c>
      <c r="AG96" s="52" t="n">
        <v>21446888</v>
      </c>
      <c r="AH96" s="52" t="n">
        <v>23045660</v>
      </c>
      <c r="AI96" s="52" t="n">
        <v>21887035</v>
      </c>
      <c r="AJ96" s="52" t="n">
        <v>22806742</v>
      </c>
      <c r="AK96" s="52" t="n">
        <v>23524219</v>
      </c>
      <c r="AL96" s="52" t="n">
        <v>21652056</v>
      </c>
      <c r="AM96" s="52" t="n">
        <v>18715375</v>
      </c>
      <c r="AN96" s="52" t="n">
        <v>16943352</v>
      </c>
      <c r="AO96" s="52" t="n">
        <v>25795683</v>
      </c>
      <c r="AP96" s="52" t="n">
        <v>22162009</v>
      </c>
      <c r="AQ96" s="52" t="n">
        <v>22331584</v>
      </c>
      <c r="AR96" s="52" t="n">
        <v>21584042</v>
      </c>
      <c r="AS96" s="52" t="n">
        <v>20487987</v>
      </c>
      <c r="AT96" s="52" t="n">
        <v>27556094</v>
      </c>
      <c r="AU96" s="52" t="n">
        <v>18546275</v>
      </c>
      <c r="AV96" s="52" t="n">
        <v>19329637</v>
      </c>
      <c r="AW96" s="52" t="n">
        <v>21707982</v>
      </c>
      <c r="AX96" s="52" t="n">
        <v>20481831</v>
      </c>
      <c r="AY96" s="52" t="n">
        <v>19311952</v>
      </c>
      <c r="AZ96" s="52" t="n">
        <v>21075257</v>
      </c>
      <c r="BA96" s="52" t="n">
        <v>18727179</v>
      </c>
      <c r="BB96" s="52" t="n">
        <v>19411715</v>
      </c>
      <c r="BC96" s="52" t="n">
        <v>19624595</v>
      </c>
      <c r="BD96" s="52" t="n">
        <v>19740397</v>
      </c>
      <c r="BE96" s="52" t="n">
        <v>17073518</v>
      </c>
      <c r="BF96" s="52" t="n">
        <v>18803205</v>
      </c>
      <c r="BG96" s="52" t="n">
        <v>20084524</v>
      </c>
      <c r="BH96" s="52" t="n">
        <v>19299321</v>
      </c>
      <c r="BI96" s="52" t="n">
        <v>20491272</v>
      </c>
      <c r="BJ96" s="52" t="n">
        <v>25069499</v>
      </c>
      <c r="BK96" s="52" t="n">
        <v>19748032</v>
      </c>
      <c r="BL96" s="52" t="n">
        <v>19135213</v>
      </c>
      <c r="BM96" s="52" t="n">
        <v>12485315</v>
      </c>
    </row>
    <row r="97" customFormat="false" ht="15" hidden="false" customHeight="false" outlineLevel="0" collapsed="false">
      <c r="A97" s="19" t="s">
        <v>181</v>
      </c>
      <c r="B97" s="22" t="s">
        <v>193</v>
      </c>
      <c r="C97" s="22" t="s">
        <v>68</v>
      </c>
      <c r="D97" s="52" t="n">
        <v>150</v>
      </c>
      <c r="E97" s="52" t="n">
        <v>122941678</v>
      </c>
      <c r="F97" s="52" t="n">
        <v>118274779</v>
      </c>
      <c r="G97" s="52" t="n">
        <v>155125460</v>
      </c>
      <c r="H97" s="52" t="n">
        <v>177172194</v>
      </c>
      <c r="I97" s="52" t="n">
        <v>192690530</v>
      </c>
      <c r="J97" s="52" t="n">
        <v>204008694</v>
      </c>
      <c r="K97" s="52" t="n">
        <v>281541158</v>
      </c>
      <c r="L97" s="52" t="n">
        <v>140000761</v>
      </c>
      <c r="M97" s="52" t="n">
        <v>209047596</v>
      </c>
      <c r="N97" s="52" t="n">
        <v>218928313</v>
      </c>
      <c r="O97" s="52" t="n">
        <v>206506806</v>
      </c>
      <c r="P97" s="52" t="n">
        <v>208651290</v>
      </c>
      <c r="Q97" s="52" t="n">
        <v>200114330</v>
      </c>
      <c r="R97" s="52" t="n">
        <v>202635384</v>
      </c>
      <c r="S97" s="52" t="n">
        <v>196413223</v>
      </c>
      <c r="T97" s="52" t="n">
        <v>208677664</v>
      </c>
      <c r="U97" s="52" t="n">
        <v>202804634</v>
      </c>
      <c r="V97" s="52" t="n">
        <v>200611788</v>
      </c>
      <c r="W97" s="52" t="n">
        <v>223942842</v>
      </c>
      <c r="X97" s="52" t="n">
        <v>214119168</v>
      </c>
      <c r="Y97" s="52" t="n">
        <v>194294152</v>
      </c>
      <c r="Z97" s="52" t="n">
        <v>190812603</v>
      </c>
      <c r="AA97" s="52" t="n">
        <v>191918706</v>
      </c>
      <c r="AB97" s="52" t="n">
        <v>189733754</v>
      </c>
      <c r="AC97" s="52" t="n">
        <v>189209966</v>
      </c>
      <c r="AD97" s="52" t="n">
        <v>234247032</v>
      </c>
      <c r="AE97" s="52" t="n">
        <v>149986107</v>
      </c>
      <c r="AF97" s="52" t="n">
        <v>186966331</v>
      </c>
      <c r="AG97" s="52" t="n">
        <v>184118453</v>
      </c>
      <c r="AH97" s="52" t="n">
        <v>179080287</v>
      </c>
      <c r="AI97" s="52" t="n">
        <v>177893006</v>
      </c>
      <c r="AJ97" s="52" t="n">
        <v>180764758</v>
      </c>
      <c r="AK97" s="52" t="n">
        <v>176433485</v>
      </c>
      <c r="AL97" s="52" t="n">
        <v>180427747</v>
      </c>
      <c r="AM97" s="52" t="n">
        <v>174841936</v>
      </c>
      <c r="AN97" s="52" t="n">
        <v>178741637</v>
      </c>
      <c r="AO97" s="52" t="n">
        <v>185233552</v>
      </c>
      <c r="AP97" s="52" t="n">
        <v>180653860</v>
      </c>
      <c r="AQ97" s="52" t="n">
        <v>165516373</v>
      </c>
      <c r="AR97" s="52" t="n">
        <v>174457995</v>
      </c>
      <c r="AS97" s="52" t="n">
        <v>171083227</v>
      </c>
      <c r="AT97" s="52" t="n">
        <v>179390106</v>
      </c>
      <c r="AU97" s="52" t="n">
        <v>160444447</v>
      </c>
      <c r="AV97" s="52" t="n">
        <v>119585328</v>
      </c>
      <c r="AW97" s="52" t="n">
        <v>148226816</v>
      </c>
      <c r="AX97" s="52" t="n">
        <v>146156745</v>
      </c>
      <c r="AY97" s="52" t="n">
        <v>137968396</v>
      </c>
      <c r="AZ97" s="52" t="n">
        <v>134935436</v>
      </c>
      <c r="BA97" s="52" t="n">
        <v>139732309</v>
      </c>
      <c r="BB97" s="52" t="n">
        <v>129611041</v>
      </c>
      <c r="BC97" s="52" t="n">
        <v>132174224</v>
      </c>
      <c r="BD97" s="52" t="n">
        <v>139385852</v>
      </c>
      <c r="BE97" s="52" t="n">
        <v>132585700</v>
      </c>
      <c r="BF97" s="52" t="n">
        <v>132375951</v>
      </c>
      <c r="BG97" s="52" t="n">
        <v>148171304</v>
      </c>
      <c r="BH97" s="52" t="n">
        <v>146355456</v>
      </c>
      <c r="BI97" s="52" t="n">
        <v>159472358</v>
      </c>
      <c r="BJ97" s="52" t="n">
        <v>160122600</v>
      </c>
      <c r="BK97" s="52" t="n">
        <v>154481778</v>
      </c>
      <c r="BL97" s="52" t="n">
        <v>167261673</v>
      </c>
      <c r="BM97" s="52" t="n">
        <v>164270230</v>
      </c>
    </row>
    <row r="98" customFormat="false" ht="15" hidden="false" customHeight="false" outlineLevel="0" collapsed="false">
      <c r="A98" s="19" t="s">
        <v>181</v>
      </c>
      <c r="B98" s="22" t="s">
        <v>219</v>
      </c>
      <c r="C98" s="19" t="s">
        <v>220</v>
      </c>
      <c r="D98" s="52" t="n">
        <v>43</v>
      </c>
      <c r="E98" s="52" t="n">
        <v>41756686</v>
      </c>
      <c r="F98" s="52" t="n">
        <v>46510904</v>
      </c>
      <c r="G98" s="52" t="n">
        <v>44051492</v>
      </c>
      <c r="H98" s="52" t="n">
        <v>45594329</v>
      </c>
      <c r="I98" s="52" t="n">
        <v>51978386</v>
      </c>
      <c r="J98" s="52" t="n">
        <v>50365850</v>
      </c>
      <c r="K98" s="52" t="n">
        <v>69194379</v>
      </c>
      <c r="L98" s="52" t="n">
        <v>23362299</v>
      </c>
      <c r="M98" s="52" t="n">
        <v>44872386</v>
      </c>
      <c r="N98" s="52" t="n">
        <v>53577281</v>
      </c>
      <c r="O98" s="52" t="n">
        <v>47279700</v>
      </c>
      <c r="P98" s="52" t="n">
        <v>48964234</v>
      </c>
      <c r="Q98" s="52" t="n">
        <v>49303237</v>
      </c>
      <c r="R98" s="52" t="n">
        <v>46664634</v>
      </c>
      <c r="S98" s="52" t="n">
        <v>49133846</v>
      </c>
      <c r="T98" s="52" t="n">
        <v>52774848</v>
      </c>
      <c r="U98" s="52" t="n">
        <v>52941404</v>
      </c>
      <c r="V98" s="52" t="n">
        <v>48864532</v>
      </c>
      <c r="W98" s="52" t="n">
        <v>48697406</v>
      </c>
      <c r="X98" s="52" t="n">
        <v>46191033</v>
      </c>
      <c r="Y98" s="52" t="n">
        <v>48291179</v>
      </c>
      <c r="Z98" s="52" t="n">
        <v>47069639</v>
      </c>
      <c r="AA98" s="52" t="n">
        <v>44135773</v>
      </c>
      <c r="AB98" s="52" t="n">
        <v>46935514</v>
      </c>
      <c r="AC98" s="52" t="n">
        <v>47490859</v>
      </c>
      <c r="AD98" s="52" t="n">
        <v>70811762</v>
      </c>
      <c r="AE98" s="52" t="n">
        <v>22913998</v>
      </c>
      <c r="AF98" s="52" t="n">
        <v>47945125</v>
      </c>
      <c r="AG98" s="52" t="n">
        <v>49946198</v>
      </c>
      <c r="AH98" s="52" t="n">
        <v>46707761</v>
      </c>
      <c r="AI98" s="52" t="n">
        <v>52472158</v>
      </c>
      <c r="AJ98" s="52" t="n">
        <v>49495548</v>
      </c>
      <c r="AK98" s="52" t="n">
        <v>43724721</v>
      </c>
      <c r="AL98" s="52" t="n">
        <v>49361825</v>
      </c>
      <c r="AM98" s="52" t="n">
        <v>43489640</v>
      </c>
      <c r="AN98" s="52" t="n">
        <v>45185970</v>
      </c>
      <c r="AO98" s="52" t="n">
        <v>53504353</v>
      </c>
      <c r="AP98" s="52" t="n">
        <v>46574895</v>
      </c>
      <c r="AQ98" s="52" t="n">
        <v>43485906</v>
      </c>
      <c r="AR98" s="52" t="n">
        <v>45003569</v>
      </c>
      <c r="AS98" s="52" t="n">
        <v>45734184</v>
      </c>
      <c r="AT98" s="52" t="n">
        <v>50808793</v>
      </c>
      <c r="AU98" s="52" t="n">
        <v>45382933</v>
      </c>
      <c r="AV98" s="52" t="n">
        <v>45781969</v>
      </c>
      <c r="AW98" s="52" t="n">
        <v>42349324</v>
      </c>
      <c r="AX98" s="52" t="n">
        <v>41890233</v>
      </c>
      <c r="AY98" s="52" t="n">
        <v>46761246</v>
      </c>
      <c r="AZ98" s="52" t="n">
        <v>38380180</v>
      </c>
      <c r="BA98" s="52" t="n">
        <v>44494253</v>
      </c>
      <c r="BB98" s="52" t="n">
        <v>42066229</v>
      </c>
      <c r="BC98" s="52" t="n">
        <v>40473162</v>
      </c>
      <c r="BD98" s="52" t="n">
        <v>43791099</v>
      </c>
      <c r="BE98" s="52" t="n">
        <v>46923906</v>
      </c>
      <c r="BF98" s="52" t="n">
        <v>47465200</v>
      </c>
      <c r="BG98" s="52" t="n">
        <v>50913002</v>
      </c>
      <c r="BH98" s="52" t="n">
        <v>49041452</v>
      </c>
      <c r="BI98" s="52" t="n">
        <v>57165059</v>
      </c>
      <c r="BJ98" s="52" t="n">
        <v>46822090</v>
      </c>
      <c r="BK98" s="52" t="n">
        <v>47837860</v>
      </c>
      <c r="BL98" s="52" t="n">
        <v>46365361</v>
      </c>
      <c r="BM98" s="52" t="n">
        <v>51855753</v>
      </c>
    </row>
    <row r="99" customFormat="false" ht="15" hidden="false" customHeight="false" outlineLevel="0" collapsed="false">
      <c r="A99" s="19" t="s">
        <v>181</v>
      </c>
      <c r="B99" s="22" t="s">
        <v>308</v>
      </c>
      <c r="C99" s="19" t="s">
        <v>309</v>
      </c>
      <c r="D99" s="52" t="n">
        <v>10</v>
      </c>
      <c r="E99" s="52" t="n">
        <v>13481627</v>
      </c>
      <c r="F99" s="52" t="n">
        <v>15723580</v>
      </c>
      <c r="G99" s="52" t="n">
        <v>14779539</v>
      </c>
      <c r="H99" s="52" t="n">
        <v>15380386</v>
      </c>
      <c r="I99" s="52" t="n">
        <v>14794347</v>
      </c>
      <c r="J99" s="52" t="n">
        <v>15285204</v>
      </c>
      <c r="K99" s="52" t="n">
        <v>21928919</v>
      </c>
      <c r="L99" s="52" t="n">
        <v>9098805</v>
      </c>
      <c r="M99" s="52" t="n">
        <v>14879154</v>
      </c>
      <c r="N99" s="52" t="n">
        <v>14454345</v>
      </c>
      <c r="O99" s="52" t="n">
        <v>14131498</v>
      </c>
      <c r="P99" s="52" t="n">
        <v>13615489</v>
      </c>
      <c r="Q99" s="52" t="n">
        <v>12959393</v>
      </c>
      <c r="R99" s="52" t="n">
        <v>12608567</v>
      </c>
      <c r="S99" s="52" t="n">
        <v>12643380</v>
      </c>
      <c r="T99" s="52" t="n">
        <v>10954216</v>
      </c>
      <c r="U99" s="52" t="n">
        <v>13555274</v>
      </c>
      <c r="V99" s="52" t="n">
        <v>13819755</v>
      </c>
      <c r="W99" s="52" t="n">
        <v>12991978</v>
      </c>
      <c r="X99" s="52" t="n">
        <v>13967715</v>
      </c>
      <c r="Y99" s="52" t="n">
        <v>13062379</v>
      </c>
      <c r="Z99" s="52" t="n">
        <v>13463601</v>
      </c>
      <c r="AA99" s="52" t="n">
        <v>12818957</v>
      </c>
      <c r="AB99" s="52" t="n">
        <v>12235402</v>
      </c>
      <c r="AC99" s="52" t="n">
        <v>13009921</v>
      </c>
      <c r="AD99" s="52" t="n">
        <v>18319320</v>
      </c>
      <c r="AE99" s="52" t="n">
        <v>6577238</v>
      </c>
      <c r="AF99" s="52" t="n">
        <v>12575833</v>
      </c>
      <c r="AG99" s="52" t="n">
        <v>10572694</v>
      </c>
      <c r="AH99" s="52" t="n">
        <v>10317830</v>
      </c>
      <c r="AI99" s="52" t="n">
        <v>9871078</v>
      </c>
      <c r="AJ99" s="52" t="n">
        <v>9003553</v>
      </c>
      <c r="AK99" s="52" t="n">
        <v>9850277</v>
      </c>
      <c r="AL99" s="52" t="n">
        <v>9079304</v>
      </c>
      <c r="AM99" s="52" t="n">
        <v>8152431</v>
      </c>
      <c r="AN99" s="52" t="n">
        <v>9537869</v>
      </c>
      <c r="AO99" s="52" t="n">
        <v>9423277</v>
      </c>
      <c r="AP99" s="52" t="n">
        <v>9555532</v>
      </c>
      <c r="AQ99" s="52" t="n">
        <v>7881017</v>
      </c>
      <c r="AR99" s="52" t="n">
        <v>8712204</v>
      </c>
      <c r="AS99" s="52" t="n">
        <v>9885971</v>
      </c>
      <c r="AT99" s="52" t="n">
        <v>10512898</v>
      </c>
      <c r="AU99" s="52" t="n">
        <v>7091514</v>
      </c>
      <c r="AV99" s="52" t="n">
        <v>8379018</v>
      </c>
      <c r="AW99" s="52" t="n">
        <v>9487755</v>
      </c>
      <c r="AX99" s="52" t="n">
        <v>8255496</v>
      </c>
      <c r="AY99" s="52" t="n">
        <v>6283207</v>
      </c>
      <c r="AZ99" s="52" t="n">
        <v>5900965</v>
      </c>
      <c r="BA99" s="52" t="n">
        <v>4390341</v>
      </c>
      <c r="BB99" s="52" t="n">
        <v>3068893</v>
      </c>
      <c r="BC99" s="52" t="n">
        <v>3739719</v>
      </c>
      <c r="BD99" s="52" t="n">
        <v>3278202</v>
      </c>
      <c r="BE99" s="52" t="n">
        <v>3223183</v>
      </c>
      <c r="BF99" s="52" t="n">
        <v>3627903</v>
      </c>
      <c r="BG99" s="52" t="n">
        <v>3524844</v>
      </c>
      <c r="BH99" s="52" t="n">
        <v>3033885</v>
      </c>
      <c r="BI99" s="52" t="n">
        <v>2982806</v>
      </c>
      <c r="BJ99" s="52" t="n">
        <v>3029483</v>
      </c>
      <c r="BK99" s="52" t="n">
        <v>2584862</v>
      </c>
      <c r="BL99" s="52" t="n">
        <v>3012212</v>
      </c>
      <c r="BM99" s="52" t="n">
        <v>3280807</v>
      </c>
    </row>
    <row r="100" customFormat="false" ht="15" hidden="false" customHeight="false" outlineLevel="0" collapsed="false">
      <c r="A100" s="19" t="s">
        <v>181</v>
      </c>
      <c r="B100" s="22" t="s">
        <v>194</v>
      </c>
      <c r="C100" s="19" t="s">
        <v>195</v>
      </c>
      <c r="D100" s="52" t="n">
        <v>90</v>
      </c>
      <c r="E100" s="52" t="n">
        <v>134712868</v>
      </c>
      <c r="F100" s="52" t="n">
        <v>139769043</v>
      </c>
      <c r="G100" s="52" t="n">
        <v>140789601</v>
      </c>
      <c r="H100" s="52" t="n">
        <v>135595945</v>
      </c>
      <c r="I100" s="52" t="n">
        <v>142238252</v>
      </c>
      <c r="J100" s="52" t="n">
        <v>132285880</v>
      </c>
      <c r="K100" s="52" t="n">
        <v>210862752</v>
      </c>
      <c r="L100" s="52" t="n">
        <v>77970000</v>
      </c>
      <c r="M100" s="52" t="n">
        <v>141221320</v>
      </c>
      <c r="N100" s="52" t="n">
        <v>143026819</v>
      </c>
      <c r="O100" s="52" t="n">
        <v>137727189</v>
      </c>
      <c r="P100" s="52" t="n">
        <v>139552050</v>
      </c>
      <c r="Q100" s="52" t="n">
        <v>144154736</v>
      </c>
      <c r="R100" s="52" t="n">
        <v>144213750</v>
      </c>
      <c r="S100" s="52" t="n">
        <v>141444138</v>
      </c>
      <c r="T100" s="52" t="n">
        <v>143460842</v>
      </c>
      <c r="U100" s="52" t="n">
        <v>138730828</v>
      </c>
      <c r="V100" s="52" t="n">
        <v>149358028</v>
      </c>
      <c r="W100" s="52" t="n">
        <v>152130486</v>
      </c>
      <c r="X100" s="52" t="n">
        <v>145308539</v>
      </c>
      <c r="Y100" s="52" t="n">
        <v>145466849</v>
      </c>
      <c r="Z100" s="52" t="n">
        <v>143654692</v>
      </c>
      <c r="AA100" s="52" t="n">
        <v>146098392</v>
      </c>
      <c r="AB100" s="52" t="n">
        <v>142232811</v>
      </c>
      <c r="AC100" s="52" t="n">
        <v>144367614</v>
      </c>
      <c r="AD100" s="52" t="n">
        <v>187962243</v>
      </c>
      <c r="AE100" s="52" t="n">
        <v>103487840</v>
      </c>
      <c r="AF100" s="52" t="n">
        <v>136818419</v>
      </c>
      <c r="AG100" s="52" t="n">
        <v>144403416</v>
      </c>
      <c r="AH100" s="52" t="n">
        <v>137178559</v>
      </c>
      <c r="AI100" s="52" t="n">
        <v>144470637</v>
      </c>
      <c r="AJ100" s="52" t="n">
        <v>154687640</v>
      </c>
      <c r="AK100" s="52" t="n">
        <v>152136585</v>
      </c>
      <c r="AL100" s="52" t="n">
        <v>150311391</v>
      </c>
      <c r="AM100" s="52" t="n">
        <v>140678527</v>
      </c>
      <c r="AN100" s="52" t="n">
        <v>143343204</v>
      </c>
      <c r="AO100" s="52" t="n">
        <v>151933181</v>
      </c>
      <c r="AP100" s="52" t="n">
        <v>159287454</v>
      </c>
      <c r="AQ100" s="52" t="n">
        <v>144702182</v>
      </c>
      <c r="AR100" s="52" t="n">
        <v>150861229</v>
      </c>
      <c r="AS100" s="52" t="n">
        <v>152383887</v>
      </c>
      <c r="AT100" s="52" t="n">
        <v>159302423</v>
      </c>
      <c r="AU100" s="52" t="n">
        <v>151074726</v>
      </c>
      <c r="AV100" s="52" t="n">
        <v>150614278</v>
      </c>
      <c r="AW100" s="52" t="n">
        <v>152324846</v>
      </c>
      <c r="AX100" s="52" t="n">
        <v>144603409</v>
      </c>
      <c r="AY100" s="52" t="n">
        <v>148622549</v>
      </c>
      <c r="AZ100" s="52" t="n">
        <v>149242541</v>
      </c>
      <c r="BA100" s="52" t="n">
        <v>152301448</v>
      </c>
      <c r="BB100" s="52" t="n">
        <v>151321465</v>
      </c>
      <c r="BC100" s="52" t="n">
        <v>156907301</v>
      </c>
      <c r="BD100" s="52" t="n">
        <v>163515913</v>
      </c>
      <c r="BE100" s="52" t="n">
        <v>157185455</v>
      </c>
      <c r="BF100" s="52" t="n">
        <v>153773553</v>
      </c>
      <c r="BG100" s="52" t="n">
        <v>157018023</v>
      </c>
      <c r="BH100" s="52" t="n">
        <v>148524454</v>
      </c>
      <c r="BI100" s="52" t="n">
        <v>152635260</v>
      </c>
      <c r="BJ100" s="52" t="n">
        <v>156802292</v>
      </c>
      <c r="BK100" s="52" t="n">
        <v>141014406</v>
      </c>
      <c r="BL100" s="52" t="n">
        <v>161578219</v>
      </c>
      <c r="BM100" s="52" t="n">
        <v>159596324</v>
      </c>
    </row>
    <row r="101" customFormat="false" ht="15" hidden="false" customHeight="false" outlineLevel="0" collapsed="false">
      <c r="A101" s="19" t="s">
        <v>181</v>
      </c>
      <c r="B101" s="22" t="s">
        <v>284</v>
      </c>
      <c r="C101" s="19" t="s">
        <v>285</v>
      </c>
      <c r="D101" s="52" t="n">
        <v>7</v>
      </c>
      <c r="E101" s="52" t="n">
        <v>11283480</v>
      </c>
      <c r="F101" s="52" t="n">
        <v>10629310</v>
      </c>
      <c r="G101" s="52" t="n">
        <v>10922240</v>
      </c>
      <c r="H101" s="52" t="n">
        <v>10141080</v>
      </c>
      <c r="I101" s="52" t="n">
        <v>11127130</v>
      </c>
      <c r="J101" s="52" t="n">
        <v>10813390</v>
      </c>
      <c r="K101" s="52" t="n">
        <v>14746860</v>
      </c>
      <c r="L101" s="52" t="n">
        <v>6858930</v>
      </c>
      <c r="M101" s="52" t="n">
        <v>11271110</v>
      </c>
      <c r="N101" s="52" t="n">
        <v>12002080</v>
      </c>
      <c r="O101" s="52" t="n">
        <v>10729660</v>
      </c>
      <c r="P101" s="52" t="n">
        <v>11527130</v>
      </c>
      <c r="Q101" s="52" t="n">
        <v>10442410</v>
      </c>
      <c r="R101" s="52" t="n">
        <v>11005180</v>
      </c>
      <c r="S101" s="52" t="n">
        <v>10030050</v>
      </c>
      <c r="T101" s="52" t="n">
        <v>9233840</v>
      </c>
      <c r="U101" s="52" t="n">
        <v>10005890</v>
      </c>
      <c r="V101" s="52" t="n">
        <v>11651630</v>
      </c>
      <c r="W101" s="52" t="n">
        <v>12296050</v>
      </c>
      <c r="X101" s="52" t="n">
        <v>11369630</v>
      </c>
      <c r="Y101" s="52" t="n">
        <v>7293700</v>
      </c>
      <c r="Z101" s="52" t="n">
        <v>7892810</v>
      </c>
      <c r="AA101" s="52" t="n">
        <v>9347670</v>
      </c>
      <c r="AB101" s="52" t="n">
        <v>8667660</v>
      </c>
      <c r="AC101" s="52" t="n">
        <v>8044210</v>
      </c>
      <c r="AD101" s="52" t="n">
        <v>9997500</v>
      </c>
      <c r="AE101" s="52" t="n">
        <v>7198300</v>
      </c>
      <c r="AF101" s="52" t="n">
        <v>8744270</v>
      </c>
      <c r="AG101" s="52" t="n">
        <v>6688380</v>
      </c>
      <c r="AH101" s="52" t="n">
        <v>7165560</v>
      </c>
      <c r="AI101" s="52" t="n">
        <v>7126310</v>
      </c>
      <c r="AJ101" s="52" t="n">
        <v>7891320</v>
      </c>
      <c r="AK101" s="52" t="n">
        <v>8114990</v>
      </c>
      <c r="AL101" s="52" t="n">
        <v>7475800</v>
      </c>
      <c r="AM101" s="52" t="n">
        <v>8378770</v>
      </c>
      <c r="AN101" s="52" t="n">
        <v>7408180</v>
      </c>
      <c r="AO101" s="52" t="n">
        <v>8418900</v>
      </c>
      <c r="AP101" s="52" t="n">
        <v>7064520</v>
      </c>
      <c r="AQ101" s="52" t="n">
        <v>8885350</v>
      </c>
      <c r="AR101" s="52" t="n">
        <v>7564510</v>
      </c>
      <c r="AS101" s="52" t="n">
        <v>6701020</v>
      </c>
      <c r="AT101" s="52" t="n">
        <v>7324690</v>
      </c>
      <c r="AU101" s="52" t="n">
        <v>6671180</v>
      </c>
      <c r="AV101" s="52" t="n">
        <v>7279950</v>
      </c>
      <c r="AW101" s="52" t="n">
        <v>6609000</v>
      </c>
      <c r="AX101" s="52" t="n">
        <v>8143950</v>
      </c>
      <c r="AY101" s="52" t="n">
        <v>9564110</v>
      </c>
      <c r="AZ101" s="52" t="n">
        <v>8475840</v>
      </c>
      <c r="BA101" s="52" t="n">
        <v>8607350</v>
      </c>
      <c r="BB101" s="52" t="n">
        <v>6200410</v>
      </c>
      <c r="BC101" s="52" t="n">
        <v>8417850</v>
      </c>
      <c r="BD101" s="52" t="n">
        <v>8667520</v>
      </c>
      <c r="BE101" s="52" t="n">
        <v>7209410</v>
      </c>
      <c r="BF101" s="52" t="n">
        <v>6893890</v>
      </c>
      <c r="BG101" s="52" t="n">
        <v>5869730</v>
      </c>
      <c r="BH101" s="52" t="n">
        <v>6359660</v>
      </c>
      <c r="BI101" s="52" t="n">
        <v>6567540</v>
      </c>
      <c r="BJ101" s="52" t="n">
        <v>6571170</v>
      </c>
      <c r="BK101" s="52" t="n">
        <v>5156250</v>
      </c>
      <c r="BL101" s="52" t="n">
        <v>6389760</v>
      </c>
      <c r="BM101" s="52" t="n">
        <v>4487880</v>
      </c>
    </row>
    <row r="102" customFormat="false" ht="15" hidden="false" customHeight="false" outlineLevel="0" collapsed="false">
      <c r="A102" s="19" t="s">
        <v>181</v>
      </c>
      <c r="B102" s="22" t="s">
        <v>237</v>
      </c>
      <c r="C102" s="19" t="s">
        <v>238</v>
      </c>
      <c r="D102" s="52" t="n">
        <v>45</v>
      </c>
      <c r="E102" s="52" t="n">
        <v>27817830</v>
      </c>
      <c r="F102" s="52" t="n">
        <v>27384810</v>
      </c>
      <c r="G102" s="52" t="n">
        <v>26498452</v>
      </c>
      <c r="H102" s="52" t="n">
        <v>27917508</v>
      </c>
      <c r="I102" s="52" t="n">
        <v>28374906</v>
      </c>
      <c r="J102" s="52" t="n">
        <v>29700624</v>
      </c>
      <c r="K102" s="52" t="n">
        <v>36183214</v>
      </c>
      <c r="L102" s="52" t="n">
        <v>10069706</v>
      </c>
      <c r="M102" s="52" t="n">
        <v>27203150</v>
      </c>
      <c r="N102" s="52" t="n">
        <v>26008708</v>
      </c>
      <c r="O102" s="52" t="n">
        <v>22127052</v>
      </c>
      <c r="P102" s="52" t="n">
        <v>25523086</v>
      </c>
      <c r="Q102" s="52" t="n">
        <v>23818290</v>
      </c>
      <c r="R102" s="52" t="n">
        <v>23920772</v>
      </c>
      <c r="S102" s="52" t="n">
        <v>23345496</v>
      </c>
      <c r="T102" s="52" t="n">
        <v>22885960</v>
      </c>
      <c r="U102" s="52" t="n">
        <v>22884574</v>
      </c>
      <c r="V102" s="52" t="n">
        <v>25247962</v>
      </c>
      <c r="W102" s="52" t="n">
        <v>20489198</v>
      </c>
      <c r="X102" s="52" t="n">
        <v>19342170</v>
      </c>
      <c r="Y102" s="52" t="n">
        <v>26096606</v>
      </c>
      <c r="Z102" s="52" t="n">
        <v>23485304</v>
      </c>
      <c r="AA102" s="52" t="n">
        <v>24110120</v>
      </c>
      <c r="AB102" s="52" t="n">
        <v>24279000</v>
      </c>
      <c r="AC102" s="52" t="n">
        <v>22207150</v>
      </c>
      <c r="AD102" s="52" t="n">
        <v>29966110</v>
      </c>
      <c r="AE102" s="52" t="n">
        <v>15041460</v>
      </c>
      <c r="AF102" s="52" t="n">
        <v>27398190</v>
      </c>
      <c r="AG102" s="52" t="n">
        <v>27207990</v>
      </c>
      <c r="AH102" s="52" t="n">
        <v>23600870</v>
      </c>
      <c r="AI102" s="52" t="n">
        <v>22226890</v>
      </c>
      <c r="AJ102" s="52" t="n">
        <v>23477480</v>
      </c>
      <c r="AK102" s="52" t="n">
        <v>24456000</v>
      </c>
      <c r="AL102" s="52" t="n">
        <v>22628340</v>
      </c>
      <c r="AM102" s="52" t="n">
        <v>25105750</v>
      </c>
      <c r="AN102" s="52" t="n">
        <v>24473250</v>
      </c>
      <c r="AO102" s="52" t="n">
        <v>25051340</v>
      </c>
      <c r="AP102" s="52" t="n">
        <v>18965920</v>
      </c>
      <c r="AQ102" s="52" t="n">
        <v>21871470</v>
      </c>
      <c r="AR102" s="52" t="n">
        <v>21592620</v>
      </c>
      <c r="AS102" s="52" t="n">
        <v>20834550</v>
      </c>
      <c r="AT102" s="52" t="n">
        <v>20422170</v>
      </c>
      <c r="AU102" s="52" t="n">
        <v>21209030</v>
      </c>
      <c r="AV102" s="52" t="n">
        <v>21874260</v>
      </c>
      <c r="AW102" s="52" t="n">
        <v>20118240</v>
      </c>
      <c r="AX102" s="52" t="n">
        <v>19713380</v>
      </c>
      <c r="AY102" s="52" t="n">
        <v>23948930</v>
      </c>
      <c r="AZ102" s="52" t="n">
        <v>18483130</v>
      </c>
      <c r="BA102" s="52" t="n">
        <v>22947850</v>
      </c>
      <c r="BB102" s="52" t="n">
        <v>22666980</v>
      </c>
      <c r="BC102" s="52" t="n">
        <v>23962360</v>
      </c>
      <c r="BD102" s="52" t="n">
        <v>23218650</v>
      </c>
      <c r="BE102" s="52" t="n">
        <v>21094700</v>
      </c>
      <c r="BF102" s="52" t="n">
        <v>18377700</v>
      </c>
      <c r="BG102" s="52" t="n">
        <v>21601400</v>
      </c>
      <c r="BH102" s="52" t="n">
        <v>22210550</v>
      </c>
      <c r="BI102" s="52" t="n">
        <v>1676010</v>
      </c>
      <c r="BJ102" s="52" t="n">
        <v>15720170</v>
      </c>
      <c r="BK102" s="52" t="n">
        <v>20296200</v>
      </c>
      <c r="BL102" s="52" t="n">
        <v>21571560</v>
      </c>
      <c r="BM102" s="52" t="n">
        <v>19537390</v>
      </c>
    </row>
    <row r="103" customFormat="false" ht="15" hidden="false" customHeight="false" outlineLevel="0" collapsed="false">
      <c r="A103" s="19" t="s">
        <v>181</v>
      </c>
      <c r="B103" s="22" t="s">
        <v>326</v>
      </c>
      <c r="C103" s="19" t="s">
        <v>327</v>
      </c>
      <c r="D103" s="52" t="n">
        <v>2</v>
      </c>
      <c r="E103" s="52" t="n">
        <v>1138240</v>
      </c>
      <c r="F103" s="52" t="n">
        <v>1345620</v>
      </c>
      <c r="G103" s="52" t="n">
        <v>2233600</v>
      </c>
      <c r="H103" s="52" t="n">
        <v>2346250</v>
      </c>
      <c r="I103" s="52" t="n">
        <v>2142400</v>
      </c>
      <c r="J103" s="52" t="n">
        <v>2357230</v>
      </c>
      <c r="K103" s="52" t="n">
        <v>2152660</v>
      </c>
      <c r="L103" s="52" t="n">
        <v>109930</v>
      </c>
      <c r="M103" s="52" t="n">
        <v>2569940</v>
      </c>
      <c r="N103" s="52" t="n">
        <v>2928220</v>
      </c>
      <c r="O103" s="52" t="n">
        <v>3083290</v>
      </c>
      <c r="P103" s="52" t="n">
        <v>2146980</v>
      </c>
      <c r="Q103" s="52" t="n">
        <v>2403710</v>
      </c>
      <c r="R103" s="52" t="n">
        <v>2172810</v>
      </c>
      <c r="S103" s="52" t="n">
        <v>2106770</v>
      </c>
      <c r="T103" s="52" t="n">
        <v>2335560</v>
      </c>
      <c r="U103" s="52" t="n">
        <v>2471260</v>
      </c>
      <c r="V103" s="52" t="n">
        <v>1749160</v>
      </c>
      <c r="W103" s="52" t="n">
        <v>734140</v>
      </c>
      <c r="X103" s="52" t="n">
        <v>597680</v>
      </c>
      <c r="Y103" s="52" t="n">
        <v>817920</v>
      </c>
      <c r="Z103" s="52" t="n">
        <v>981010</v>
      </c>
      <c r="AA103" s="52" t="n">
        <v>764928</v>
      </c>
      <c r="AB103" s="52" t="n">
        <v>870480</v>
      </c>
      <c r="AC103" s="52" t="n">
        <v>901990</v>
      </c>
      <c r="AD103" s="52" t="n">
        <v>1177380</v>
      </c>
      <c r="AE103" s="52" t="n">
        <v>335360</v>
      </c>
      <c r="AF103" s="52" t="n">
        <v>1620960</v>
      </c>
      <c r="AG103" s="52" t="n">
        <v>1381840</v>
      </c>
      <c r="AH103" s="52" t="n">
        <v>2318690</v>
      </c>
      <c r="AI103" s="52" t="n">
        <v>2104860</v>
      </c>
      <c r="AJ103" s="52" t="n">
        <v>1742960</v>
      </c>
      <c r="AK103" s="52" t="n">
        <v>1688650</v>
      </c>
      <c r="AL103" s="52" t="n">
        <v>2630620</v>
      </c>
      <c r="AM103" s="52" t="n">
        <v>2538020</v>
      </c>
      <c r="AN103" s="52" t="n">
        <v>2298090</v>
      </c>
      <c r="AO103" s="52" t="n">
        <v>1804860</v>
      </c>
      <c r="AP103" s="52" t="n">
        <v>1615240</v>
      </c>
      <c r="AQ103" s="52" t="n">
        <v>2290950</v>
      </c>
      <c r="AR103" s="52" t="n">
        <v>2574850</v>
      </c>
      <c r="AS103" s="52" t="n">
        <v>1615280</v>
      </c>
      <c r="AT103" s="52" t="n">
        <v>2292410</v>
      </c>
      <c r="AU103" s="52" t="n">
        <v>2342710</v>
      </c>
      <c r="AV103" s="52" t="n">
        <v>1831240</v>
      </c>
      <c r="AW103" s="52" t="n">
        <v>442840</v>
      </c>
      <c r="AX103" s="52" t="n">
        <v>750120</v>
      </c>
      <c r="AY103" s="52" t="n">
        <v>966410</v>
      </c>
      <c r="AZ103" s="52" t="n">
        <v>1187430</v>
      </c>
      <c r="BA103" s="52" t="n">
        <v>719230</v>
      </c>
      <c r="BB103" s="52" t="n">
        <v>992360</v>
      </c>
      <c r="BC103" s="52" t="n">
        <v>514950</v>
      </c>
      <c r="BD103" s="52" t="n">
        <v>851870</v>
      </c>
      <c r="BE103" s="52" t="n">
        <v>715270</v>
      </c>
      <c r="BF103" s="52" t="n">
        <v>1095180</v>
      </c>
      <c r="BG103" s="52" t="n">
        <v>1510740</v>
      </c>
      <c r="BH103" s="52" t="n">
        <v>1678410</v>
      </c>
      <c r="BI103" s="52" t="n">
        <v>2182980</v>
      </c>
      <c r="BJ103" s="52" t="n">
        <v>1179620</v>
      </c>
      <c r="BK103" s="52" t="n">
        <v>1805560</v>
      </c>
      <c r="BL103" s="52" t="n">
        <v>1454160</v>
      </c>
      <c r="BM103" s="52" t="n">
        <v>1941940</v>
      </c>
    </row>
    <row r="104" customFormat="false" ht="15" hidden="false" customHeight="false" outlineLevel="0" collapsed="false">
      <c r="A104" s="19" t="s">
        <v>181</v>
      </c>
      <c r="B104" s="22" t="s">
        <v>330</v>
      </c>
      <c r="C104" s="19" t="s">
        <v>331</v>
      </c>
      <c r="D104" s="52" t="n">
        <v>7</v>
      </c>
      <c r="E104" s="52" t="n">
        <v>4953540</v>
      </c>
      <c r="F104" s="52" t="n">
        <v>1947690</v>
      </c>
      <c r="G104" s="52" t="n">
        <v>3263800</v>
      </c>
      <c r="H104" s="52" t="n">
        <v>2185480</v>
      </c>
      <c r="I104" s="52" t="n">
        <v>1566590</v>
      </c>
      <c r="J104" s="52" t="n">
        <v>1596240</v>
      </c>
      <c r="K104" s="52" t="n">
        <v>4209740</v>
      </c>
      <c r="L104" s="52" t="n">
        <v>884060</v>
      </c>
      <c r="M104" s="52" t="n">
        <v>1264850</v>
      </c>
      <c r="N104" s="52" t="n">
        <v>1644240</v>
      </c>
      <c r="O104" s="52" t="n">
        <v>1012160</v>
      </c>
      <c r="P104" s="52" t="n">
        <v>918540</v>
      </c>
      <c r="Q104" s="52" t="n">
        <v>1189770</v>
      </c>
      <c r="R104" s="52" t="n">
        <v>943840</v>
      </c>
      <c r="S104" s="52" t="n">
        <v>1284510</v>
      </c>
      <c r="T104" s="52" t="n">
        <v>510070</v>
      </c>
      <c r="U104" s="52" t="n">
        <v>1616090</v>
      </c>
      <c r="V104" s="52" t="n">
        <v>1022740</v>
      </c>
      <c r="W104" s="52" t="n">
        <v>613450</v>
      </c>
      <c r="X104" s="52" t="n">
        <v>2103940</v>
      </c>
      <c r="Y104" s="52" t="n">
        <v>1673860</v>
      </c>
      <c r="Z104" s="52" t="n">
        <v>999300</v>
      </c>
      <c r="AA104" s="52" t="n">
        <v>1058610</v>
      </c>
      <c r="AB104" s="52" t="n">
        <v>1477720</v>
      </c>
      <c r="AC104" s="52" t="n">
        <v>1128740</v>
      </c>
      <c r="AD104" s="52" t="n">
        <v>3041220</v>
      </c>
      <c r="AE104" s="52" t="n">
        <v>1411180</v>
      </c>
      <c r="AF104" s="52" t="n">
        <v>917800</v>
      </c>
      <c r="AG104" s="52" t="n">
        <v>1401990</v>
      </c>
      <c r="AH104" s="52" t="n">
        <v>1451000</v>
      </c>
      <c r="AI104" s="52" t="n">
        <v>2348980</v>
      </c>
      <c r="AJ104" s="52" t="n">
        <v>899970</v>
      </c>
      <c r="AK104" s="52" t="n">
        <v>1356170</v>
      </c>
      <c r="AL104" s="52" t="n">
        <v>1708670</v>
      </c>
      <c r="AM104" s="52" t="n">
        <v>2331040</v>
      </c>
      <c r="AN104" s="52" t="n">
        <v>3040900</v>
      </c>
      <c r="AO104" s="52" t="n">
        <v>2026700</v>
      </c>
      <c r="AP104" s="52" t="n">
        <v>1766060</v>
      </c>
      <c r="AQ104" s="52" t="n">
        <v>2182070</v>
      </c>
      <c r="AR104" s="52" t="n">
        <v>4034150</v>
      </c>
      <c r="AS104" s="52" t="n">
        <v>1924430</v>
      </c>
      <c r="AT104" s="52" t="n">
        <v>3100700</v>
      </c>
      <c r="AU104" s="52" t="n">
        <v>1412860</v>
      </c>
      <c r="AV104" s="52" t="n">
        <v>3427510</v>
      </c>
      <c r="AW104" s="52" t="n">
        <v>2228780</v>
      </c>
      <c r="AX104" s="52" t="n">
        <v>2598310</v>
      </c>
      <c r="AY104" s="52" t="n">
        <v>2311690</v>
      </c>
      <c r="AZ104" s="52" t="n">
        <v>3059760</v>
      </c>
      <c r="BA104" s="52" t="n">
        <v>2093330</v>
      </c>
      <c r="BB104" s="52" t="n">
        <v>3068290</v>
      </c>
      <c r="BC104" s="52" t="n">
        <v>2839580</v>
      </c>
      <c r="BD104" s="52" t="n">
        <v>2429250</v>
      </c>
      <c r="BE104" s="52" t="n">
        <v>1315070</v>
      </c>
      <c r="BF104" s="52" t="n">
        <v>1750920</v>
      </c>
      <c r="BG104" s="52" t="n">
        <v>1184950</v>
      </c>
      <c r="BH104" s="52" t="n">
        <v>1632330</v>
      </c>
      <c r="BI104" s="52" t="n">
        <v>1428300</v>
      </c>
      <c r="BJ104" s="52" t="n">
        <v>1417220</v>
      </c>
      <c r="BK104" s="52" t="n">
        <v>1201500</v>
      </c>
      <c r="BL104" s="52" t="n">
        <v>478550</v>
      </c>
      <c r="BM104" s="52" t="n">
        <v>1772410</v>
      </c>
    </row>
    <row r="105" customFormat="false" ht="15" hidden="false" customHeight="false" outlineLevel="0" collapsed="false">
      <c r="A105" s="19" t="s">
        <v>181</v>
      </c>
      <c r="B105" s="22" t="s">
        <v>294</v>
      </c>
      <c r="C105" s="19" t="s">
        <v>295</v>
      </c>
      <c r="D105" s="52" t="n">
        <v>7</v>
      </c>
      <c r="E105" s="52" t="n">
        <v>7226141</v>
      </c>
      <c r="F105" s="52" t="n">
        <v>6568910</v>
      </c>
      <c r="G105" s="52" t="n">
        <v>8582390</v>
      </c>
      <c r="H105" s="52" t="n">
        <v>8292975</v>
      </c>
      <c r="I105" s="52" t="n">
        <v>6706292</v>
      </c>
      <c r="J105" s="52" t="n">
        <v>7007936</v>
      </c>
      <c r="K105" s="52" t="n">
        <v>10741786</v>
      </c>
      <c r="L105" s="52" t="n">
        <v>3031253</v>
      </c>
      <c r="M105" s="52" t="n">
        <v>5869250</v>
      </c>
      <c r="N105" s="52" t="n">
        <v>7471004</v>
      </c>
      <c r="O105" s="52" t="n">
        <v>6337765</v>
      </c>
      <c r="P105" s="52" t="n">
        <v>8006023</v>
      </c>
      <c r="Q105" s="52" t="n">
        <v>5702102</v>
      </c>
      <c r="R105" s="52" t="n">
        <v>5404748</v>
      </c>
      <c r="S105" s="52" t="n">
        <v>7097202</v>
      </c>
      <c r="T105" s="52" t="n">
        <v>6905071</v>
      </c>
      <c r="U105" s="52" t="n">
        <v>6444763</v>
      </c>
      <c r="V105" s="52" t="n">
        <v>7828648</v>
      </c>
      <c r="W105" s="52" t="n">
        <v>7473439</v>
      </c>
      <c r="X105" s="52" t="n">
        <v>6507937</v>
      </c>
      <c r="Y105" s="52" t="n">
        <v>7169724</v>
      </c>
      <c r="Z105" s="52" t="n">
        <v>4505398</v>
      </c>
      <c r="AA105" s="52" t="n">
        <v>6018105</v>
      </c>
      <c r="AB105" s="52" t="n">
        <v>6006579</v>
      </c>
      <c r="AC105" s="52" t="n">
        <v>5717790</v>
      </c>
      <c r="AD105" s="52" t="n">
        <v>7896329</v>
      </c>
      <c r="AE105" s="52" t="n">
        <v>2395784</v>
      </c>
      <c r="AF105" s="52" t="n">
        <v>4435403</v>
      </c>
      <c r="AG105" s="52" t="n">
        <v>5944883</v>
      </c>
      <c r="AH105" s="52" t="n">
        <v>6480200</v>
      </c>
      <c r="AI105" s="52" t="n">
        <v>4919173</v>
      </c>
      <c r="AJ105" s="52" t="n">
        <v>4770699</v>
      </c>
      <c r="AK105" s="52" t="n">
        <v>4801653</v>
      </c>
      <c r="AL105" s="52" t="n">
        <v>5219090</v>
      </c>
      <c r="AM105" s="52" t="n">
        <v>3329466</v>
      </c>
      <c r="AN105" s="52" t="n">
        <v>4391518</v>
      </c>
      <c r="AO105" s="52" t="n">
        <v>4749324</v>
      </c>
      <c r="AP105" s="52" t="n">
        <v>5639786</v>
      </c>
      <c r="AQ105" s="52" t="n">
        <v>4519526</v>
      </c>
      <c r="AR105" s="52" t="n">
        <v>5912790</v>
      </c>
      <c r="AS105" s="52" t="n">
        <v>4537166</v>
      </c>
      <c r="AT105" s="52" t="n">
        <v>5341533</v>
      </c>
      <c r="AU105" s="52" t="n">
        <v>5487749</v>
      </c>
      <c r="AV105" s="52" t="n">
        <v>3161376</v>
      </c>
      <c r="AW105" s="52" t="n">
        <v>5184520</v>
      </c>
      <c r="AX105" s="52" t="n">
        <v>3694191</v>
      </c>
      <c r="AY105" s="52" t="n">
        <v>4370161</v>
      </c>
      <c r="AZ105" s="52" t="n">
        <v>3949686</v>
      </c>
      <c r="BA105" s="52" t="n">
        <v>3654987</v>
      </c>
      <c r="BB105" s="52" t="n">
        <v>3300975</v>
      </c>
      <c r="BC105" s="52" t="n">
        <v>3840009</v>
      </c>
      <c r="BD105" s="52" t="n">
        <v>3433183</v>
      </c>
      <c r="BE105" s="52" t="n">
        <v>4002882</v>
      </c>
      <c r="BF105" s="52" t="n">
        <v>3686534</v>
      </c>
      <c r="BG105" s="52" t="n">
        <v>3894284</v>
      </c>
      <c r="BH105" s="52" t="n">
        <v>4935495</v>
      </c>
      <c r="BI105" s="52" t="n">
        <v>5401029</v>
      </c>
      <c r="BJ105" s="52" t="n">
        <v>6428533</v>
      </c>
      <c r="BK105" s="52" t="n">
        <v>3251017</v>
      </c>
      <c r="BL105" s="52" t="n">
        <v>4701917</v>
      </c>
      <c r="BM105" s="52" t="n">
        <v>3516682</v>
      </c>
    </row>
    <row r="106" customFormat="false" ht="15" hidden="false" customHeight="false" outlineLevel="0" collapsed="false">
      <c r="A106" s="19" t="s">
        <v>181</v>
      </c>
      <c r="B106" s="22" t="s">
        <v>247</v>
      </c>
      <c r="C106" s="19" t="s">
        <v>248</v>
      </c>
      <c r="D106" s="52" t="n">
        <v>21</v>
      </c>
      <c r="E106" s="52" t="n">
        <v>26354137</v>
      </c>
      <c r="F106" s="52" t="n">
        <v>26817319</v>
      </c>
      <c r="G106" s="52" t="n">
        <v>25999701</v>
      </c>
      <c r="H106" s="52" t="n">
        <v>25557760</v>
      </c>
      <c r="I106" s="52" t="n">
        <v>25284080</v>
      </c>
      <c r="J106" s="52" t="n">
        <v>30733745</v>
      </c>
      <c r="K106" s="52" t="n">
        <v>33382229</v>
      </c>
      <c r="L106" s="52" t="n">
        <v>15713096</v>
      </c>
      <c r="M106" s="52" t="n">
        <v>22529968</v>
      </c>
      <c r="N106" s="52" t="n">
        <v>27875814</v>
      </c>
      <c r="O106" s="52" t="n">
        <v>24845125</v>
      </c>
      <c r="P106" s="52" t="n">
        <v>23905576</v>
      </c>
      <c r="Q106" s="52" t="n">
        <v>26364965</v>
      </c>
      <c r="R106" s="52" t="n">
        <v>27086528</v>
      </c>
      <c r="S106" s="52" t="n">
        <v>22973436</v>
      </c>
      <c r="T106" s="52" t="n">
        <v>23084409</v>
      </c>
      <c r="U106" s="52" t="n">
        <v>25148204</v>
      </c>
      <c r="V106" s="52" t="n">
        <v>23515227</v>
      </c>
      <c r="W106" s="52" t="n">
        <v>23075658</v>
      </c>
      <c r="X106" s="52" t="n">
        <v>21327716</v>
      </c>
      <c r="Y106" s="52" t="n">
        <v>21280019</v>
      </c>
      <c r="Z106" s="52" t="n">
        <v>19630046</v>
      </c>
      <c r="AA106" s="52" t="n">
        <v>18299143</v>
      </c>
      <c r="AB106" s="52" t="n">
        <v>21664640</v>
      </c>
      <c r="AC106" s="52" t="n">
        <v>20067824</v>
      </c>
      <c r="AD106" s="52" t="n">
        <v>29016842</v>
      </c>
      <c r="AE106" s="52" t="n">
        <v>11426851</v>
      </c>
      <c r="AF106" s="52" t="n">
        <v>22362179</v>
      </c>
      <c r="AG106" s="52" t="n">
        <v>19221475</v>
      </c>
      <c r="AH106" s="52" t="n">
        <v>20627167</v>
      </c>
      <c r="AI106" s="52" t="n">
        <v>20889791</v>
      </c>
      <c r="AJ106" s="52" t="n">
        <v>22719649</v>
      </c>
      <c r="AK106" s="52" t="n">
        <v>21156395</v>
      </c>
      <c r="AL106" s="52" t="n">
        <v>21863896</v>
      </c>
      <c r="AM106" s="52" t="n">
        <v>17876330</v>
      </c>
      <c r="AN106" s="52" t="n">
        <v>23131143</v>
      </c>
      <c r="AO106" s="52" t="n">
        <v>18036994</v>
      </c>
      <c r="AP106" s="52" t="n">
        <v>20500612</v>
      </c>
      <c r="AQ106" s="52" t="n">
        <v>16702361</v>
      </c>
      <c r="AR106" s="52" t="n">
        <v>19329534</v>
      </c>
      <c r="AS106" s="52" t="n">
        <v>19494959</v>
      </c>
      <c r="AT106" s="52" t="n">
        <v>20166409</v>
      </c>
      <c r="AU106" s="52" t="n">
        <v>20168990</v>
      </c>
      <c r="AV106" s="52" t="n">
        <v>17885030</v>
      </c>
      <c r="AW106" s="52" t="n">
        <v>17499080</v>
      </c>
      <c r="AX106" s="52" t="n">
        <v>18801070</v>
      </c>
      <c r="AY106" s="52" t="n">
        <v>17525300</v>
      </c>
      <c r="AZ106" s="52" t="n">
        <v>15713740</v>
      </c>
      <c r="BA106" s="52" t="n">
        <v>18909780</v>
      </c>
      <c r="BB106" s="52" t="n">
        <v>16506390</v>
      </c>
      <c r="BC106" s="52" t="n">
        <v>17063940</v>
      </c>
      <c r="BD106" s="52" t="n">
        <v>15875450</v>
      </c>
      <c r="BE106" s="52" t="n">
        <v>17634140</v>
      </c>
      <c r="BF106" s="52" t="n">
        <v>15880560</v>
      </c>
      <c r="BG106" s="52" t="n">
        <v>15772310</v>
      </c>
      <c r="BH106" s="52" t="n">
        <v>20121490</v>
      </c>
      <c r="BI106" s="52" t="n">
        <v>17763600</v>
      </c>
      <c r="BJ106" s="52" t="n">
        <v>14754770</v>
      </c>
      <c r="BK106" s="52" t="n">
        <v>13920680</v>
      </c>
      <c r="BL106" s="52" t="n">
        <v>19018270</v>
      </c>
      <c r="BM106" s="52" t="n">
        <v>15903730</v>
      </c>
    </row>
    <row r="107" customFormat="false" ht="15" hidden="false" customHeight="false" outlineLevel="0" collapsed="false">
      <c r="A107" s="19" t="s">
        <v>181</v>
      </c>
      <c r="B107" s="22" t="s">
        <v>286</v>
      </c>
      <c r="C107" s="19" t="s">
        <v>287</v>
      </c>
      <c r="D107" s="52" t="n">
        <v>7</v>
      </c>
      <c r="E107" s="52" t="n">
        <v>4717530</v>
      </c>
      <c r="F107" s="52" t="n">
        <v>4029600</v>
      </c>
      <c r="G107" s="52" t="n">
        <v>4260870</v>
      </c>
      <c r="H107" s="52" t="n">
        <v>4970320</v>
      </c>
      <c r="I107" s="52" t="n">
        <v>3308420</v>
      </c>
      <c r="J107" s="52" t="n">
        <v>4895850</v>
      </c>
      <c r="K107" s="52" t="n">
        <v>5881240</v>
      </c>
      <c r="L107" s="52" t="n">
        <v>2366940</v>
      </c>
      <c r="M107" s="52" t="n">
        <v>4473400</v>
      </c>
      <c r="N107" s="52" t="n">
        <v>4282340</v>
      </c>
      <c r="O107" s="52" t="n">
        <v>4774500</v>
      </c>
      <c r="P107" s="52" t="n">
        <v>3949730</v>
      </c>
      <c r="Q107" s="52" t="n">
        <v>5037740</v>
      </c>
      <c r="R107" s="52" t="n">
        <v>4523060</v>
      </c>
      <c r="S107" s="52" t="n">
        <v>5015550</v>
      </c>
      <c r="T107" s="52" t="n">
        <v>3826140</v>
      </c>
      <c r="U107" s="52" t="n">
        <v>4299490</v>
      </c>
      <c r="V107" s="52" t="n">
        <v>5484430</v>
      </c>
      <c r="W107" s="52" t="n">
        <v>5894520</v>
      </c>
      <c r="X107" s="52" t="n">
        <v>5131400</v>
      </c>
      <c r="Y107" s="52" t="n">
        <v>4828810</v>
      </c>
      <c r="Z107" s="52" t="n">
        <v>3970280</v>
      </c>
      <c r="AA107" s="52" t="n">
        <v>3785270</v>
      </c>
      <c r="AB107" s="52" t="n">
        <v>5027060</v>
      </c>
      <c r="AC107" s="52" t="n">
        <v>4221280</v>
      </c>
      <c r="AD107" s="52" t="n">
        <v>5751730</v>
      </c>
      <c r="AE107" s="52" t="n">
        <v>3926430</v>
      </c>
      <c r="AF107" s="52" t="n">
        <v>2050600</v>
      </c>
      <c r="AG107" s="52" t="n">
        <v>4626380</v>
      </c>
      <c r="AH107" s="52" t="n">
        <v>3261270</v>
      </c>
      <c r="AI107" s="52" t="n">
        <v>4701980</v>
      </c>
      <c r="AJ107" s="52" t="n">
        <v>4181260</v>
      </c>
      <c r="AK107" s="52" t="n">
        <v>4314230</v>
      </c>
      <c r="AL107" s="52" t="n">
        <v>4400260</v>
      </c>
      <c r="AM107" s="52" t="n">
        <v>4657660</v>
      </c>
      <c r="AN107" s="52" t="n">
        <v>4114970</v>
      </c>
      <c r="AO107" s="52" t="n">
        <v>6771440</v>
      </c>
      <c r="AP107" s="52" t="n">
        <v>4315100</v>
      </c>
      <c r="AQ107" s="52" t="n">
        <v>5481080</v>
      </c>
      <c r="AR107" s="52" t="n">
        <v>5907580</v>
      </c>
      <c r="AS107" s="52" t="n">
        <v>5263330</v>
      </c>
      <c r="AT107" s="52" t="n">
        <v>4377450</v>
      </c>
      <c r="AU107" s="52" t="n">
        <v>4897540</v>
      </c>
      <c r="AV107" s="52" t="n">
        <v>5644560</v>
      </c>
      <c r="AW107" s="52" t="n">
        <v>5300340</v>
      </c>
      <c r="AX107" s="52" t="n">
        <v>5596460</v>
      </c>
      <c r="AY107" s="52" t="n">
        <v>4200960</v>
      </c>
      <c r="AZ107" s="52" t="n">
        <v>5652140</v>
      </c>
      <c r="BA107" s="52" t="n">
        <v>5721770</v>
      </c>
      <c r="BB107" s="52" t="n">
        <v>7071530</v>
      </c>
      <c r="BC107" s="52" t="n">
        <v>5714430</v>
      </c>
      <c r="BD107" s="52" t="n">
        <v>6057410</v>
      </c>
      <c r="BE107" s="52" t="n">
        <v>5066950</v>
      </c>
      <c r="BF107" s="52" t="n">
        <v>4893610</v>
      </c>
      <c r="BG107" s="52" t="n">
        <v>5020110</v>
      </c>
      <c r="BH107" s="52" t="n">
        <v>4483910</v>
      </c>
      <c r="BI107" s="52" t="n">
        <v>4410550</v>
      </c>
      <c r="BJ107" s="52" t="n">
        <v>4798670</v>
      </c>
      <c r="BK107" s="52" t="n">
        <v>4864380</v>
      </c>
      <c r="BL107" s="52" t="n">
        <v>5844630</v>
      </c>
      <c r="BM107" s="52" t="n">
        <v>5715120</v>
      </c>
    </row>
    <row r="108" customFormat="false" ht="15" hidden="false" customHeight="false" outlineLevel="0" collapsed="false">
      <c r="A108" s="19" t="s">
        <v>181</v>
      </c>
      <c r="B108" s="22" t="s">
        <v>342</v>
      </c>
      <c r="C108" s="19" t="s">
        <v>343</v>
      </c>
      <c r="D108" s="52" t="n">
        <v>1</v>
      </c>
      <c r="E108" s="52" t="n">
        <v>0</v>
      </c>
      <c r="F108" s="52" t="n">
        <v>0</v>
      </c>
      <c r="G108" s="52" t="n">
        <v>0</v>
      </c>
      <c r="H108" s="52" t="n">
        <v>0</v>
      </c>
      <c r="I108" s="52" t="n">
        <v>0</v>
      </c>
      <c r="J108" s="52" t="n">
        <v>0</v>
      </c>
      <c r="K108" s="52" t="n">
        <v>0</v>
      </c>
      <c r="L108" s="52" t="n">
        <v>0</v>
      </c>
      <c r="M108" s="52" t="n">
        <v>0</v>
      </c>
      <c r="N108" s="52" t="n">
        <v>0</v>
      </c>
      <c r="O108" s="52" t="n">
        <v>0</v>
      </c>
      <c r="P108" s="52" t="n">
        <v>0</v>
      </c>
      <c r="Q108" s="52" t="n">
        <v>0</v>
      </c>
      <c r="R108" s="52" t="n">
        <v>0</v>
      </c>
      <c r="S108" s="52" t="n">
        <v>0</v>
      </c>
      <c r="T108" s="52" t="n">
        <v>0</v>
      </c>
      <c r="U108" s="52" t="n">
        <v>0</v>
      </c>
      <c r="V108" s="52" t="n">
        <v>0</v>
      </c>
      <c r="W108" s="52" t="n">
        <v>0</v>
      </c>
      <c r="X108" s="52" t="n">
        <v>1201594</v>
      </c>
      <c r="Y108" s="52" t="n">
        <v>995415</v>
      </c>
      <c r="Z108" s="52" t="n">
        <v>466916</v>
      </c>
      <c r="AA108" s="52" t="n">
        <v>844870</v>
      </c>
      <c r="AB108" s="52" t="n">
        <v>960200</v>
      </c>
      <c r="AC108" s="52" t="n">
        <v>562100</v>
      </c>
      <c r="AD108" s="52" t="n">
        <v>1073279</v>
      </c>
      <c r="AE108" s="52" t="n">
        <v>801436</v>
      </c>
      <c r="AF108" s="52" t="n">
        <v>904189</v>
      </c>
      <c r="AG108" s="52" t="n">
        <v>1754609</v>
      </c>
      <c r="AH108" s="52" t="n">
        <v>534884</v>
      </c>
      <c r="AI108" s="52" t="n">
        <v>768944</v>
      </c>
      <c r="AJ108" s="52" t="n">
        <v>1025510</v>
      </c>
      <c r="AK108" s="52" t="n">
        <v>842246</v>
      </c>
      <c r="AL108" s="52" t="n">
        <v>461841</v>
      </c>
      <c r="AM108" s="52" t="n">
        <v>1110921</v>
      </c>
      <c r="AN108" s="52" t="n">
        <v>821018</v>
      </c>
      <c r="AO108" s="52" t="n">
        <v>435792</v>
      </c>
      <c r="AP108" s="52" t="n">
        <v>959630</v>
      </c>
      <c r="AQ108" s="52" t="n">
        <v>498601</v>
      </c>
      <c r="AR108" s="52" t="n">
        <v>877664</v>
      </c>
      <c r="AS108" s="52" t="n">
        <v>483288</v>
      </c>
      <c r="AT108" s="52" t="n">
        <v>885484</v>
      </c>
      <c r="AU108" s="52" t="n">
        <v>504292</v>
      </c>
      <c r="AV108" s="52" t="n">
        <v>551016</v>
      </c>
      <c r="AW108" s="52" t="n">
        <v>758460</v>
      </c>
      <c r="AX108" s="52" t="n">
        <v>697148</v>
      </c>
      <c r="AY108" s="52" t="n">
        <v>451778</v>
      </c>
      <c r="AZ108" s="52" t="n">
        <v>888316</v>
      </c>
      <c r="BA108" s="52" t="n">
        <v>0</v>
      </c>
      <c r="BB108" s="52" t="n">
        <v>1951092</v>
      </c>
      <c r="BC108" s="52" t="n">
        <v>616035</v>
      </c>
      <c r="BD108" s="52" t="n">
        <v>976669</v>
      </c>
      <c r="BE108" s="52" t="n">
        <v>821514</v>
      </c>
      <c r="BF108" s="52" t="n">
        <v>916455</v>
      </c>
      <c r="BG108" s="52" t="n">
        <v>708556</v>
      </c>
      <c r="BH108" s="52" t="n">
        <v>542892</v>
      </c>
      <c r="BI108" s="52" t="n">
        <v>484124</v>
      </c>
      <c r="BJ108" s="52" t="n">
        <v>307964</v>
      </c>
      <c r="BK108" s="52" t="n">
        <v>789700</v>
      </c>
      <c r="BL108" s="52" t="n">
        <v>456783</v>
      </c>
      <c r="BM108" s="52" t="n">
        <v>651869</v>
      </c>
    </row>
    <row r="109" customFormat="false" ht="15" hidden="false" customHeight="false" outlineLevel="0" collapsed="false">
      <c r="A109" s="19" t="s">
        <v>181</v>
      </c>
      <c r="B109" s="22" t="s">
        <v>344</v>
      </c>
      <c r="C109" s="19" t="s">
        <v>345</v>
      </c>
      <c r="D109" s="52" t="n">
        <v>1</v>
      </c>
      <c r="E109" s="52" t="n">
        <v>0</v>
      </c>
      <c r="F109" s="52" t="n">
        <v>0</v>
      </c>
      <c r="G109" s="52" t="n">
        <v>0</v>
      </c>
      <c r="H109" s="52" t="n">
        <v>0</v>
      </c>
      <c r="I109" s="52" t="n">
        <v>0</v>
      </c>
      <c r="J109" s="52" t="n">
        <v>0</v>
      </c>
      <c r="K109" s="52" t="n">
        <v>0</v>
      </c>
      <c r="L109" s="52" t="n">
        <v>0</v>
      </c>
      <c r="M109" s="52" t="n">
        <v>0</v>
      </c>
      <c r="N109" s="52" t="n">
        <v>0</v>
      </c>
      <c r="O109" s="52" t="n">
        <v>0</v>
      </c>
      <c r="P109" s="52" t="n">
        <v>0</v>
      </c>
      <c r="Q109" s="52" t="n">
        <v>0</v>
      </c>
      <c r="R109" s="52" t="n">
        <v>0</v>
      </c>
      <c r="S109" s="52" t="n">
        <v>0</v>
      </c>
      <c r="T109" s="52" t="n">
        <v>0</v>
      </c>
      <c r="U109" s="52" t="n">
        <v>0</v>
      </c>
      <c r="V109" s="52" t="n">
        <v>0</v>
      </c>
      <c r="W109" s="52" t="n">
        <v>0</v>
      </c>
      <c r="X109" s="52" t="n">
        <v>538390</v>
      </c>
      <c r="Y109" s="52" t="n">
        <v>532600</v>
      </c>
      <c r="Z109" s="52" t="n">
        <v>223090</v>
      </c>
      <c r="AA109" s="52" t="n">
        <v>461440</v>
      </c>
      <c r="AB109" s="52" t="n">
        <v>384790</v>
      </c>
      <c r="AC109" s="52" t="n">
        <v>201840</v>
      </c>
      <c r="AD109" s="52" t="n">
        <v>752320</v>
      </c>
      <c r="AE109" s="52" t="n">
        <v>0</v>
      </c>
      <c r="AF109" s="52" t="n">
        <v>294250</v>
      </c>
      <c r="AG109" s="52" t="n">
        <v>270880</v>
      </c>
      <c r="AH109" s="52" t="n">
        <v>341550</v>
      </c>
      <c r="AI109" s="52" t="n">
        <v>243010</v>
      </c>
      <c r="AJ109" s="52" t="n">
        <v>235500</v>
      </c>
      <c r="AK109" s="52" t="n">
        <v>283880</v>
      </c>
      <c r="AL109" s="52" t="n">
        <v>315920</v>
      </c>
      <c r="AM109" s="52" t="n">
        <v>271930</v>
      </c>
      <c r="AN109" s="52" t="n">
        <v>363280</v>
      </c>
      <c r="AO109" s="52" t="n">
        <v>121840</v>
      </c>
      <c r="AP109" s="52" t="n">
        <v>508540</v>
      </c>
      <c r="AQ109" s="52" t="n">
        <v>302280</v>
      </c>
      <c r="AR109" s="52" t="n">
        <v>494530</v>
      </c>
      <c r="AS109" s="52" t="n">
        <v>352590</v>
      </c>
      <c r="AT109" s="52" t="n">
        <v>346880</v>
      </c>
      <c r="AU109" s="52" t="n">
        <v>373170</v>
      </c>
      <c r="AV109" s="52" t="n">
        <v>0</v>
      </c>
      <c r="AW109" s="52" t="n">
        <v>100040</v>
      </c>
      <c r="AX109" s="52" t="n">
        <v>496590</v>
      </c>
      <c r="AY109" s="52" t="n">
        <v>238510</v>
      </c>
      <c r="AZ109" s="52" t="n">
        <v>250380</v>
      </c>
      <c r="BA109" s="52" t="n">
        <v>244620</v>
      </c>
      <c r="BB109" s="52" t="n">
        <v>400540</v>
      </c>
      <c r="BC109" s="52" t="n">
        <v>354720</v>
      </c>
      <c r="BD109" s="52" t="n">
        <v>381170</v>
      </c>
      <c r="BE109" s="52" t="n">
        <v>168990</v>
      </c>
      <c r="BF109" s="52" t="n">
        <v>247880</v>
      </c>
      <c r="BG109" s="52" t="n">
        <v>416700</v>
      </c>
      <c r="BH109" s="52" t="n">
        <v>242040</v>
      </c>
      <c r="BI109" s="52" t="n">
        <v>137240</v>
      </c>
      <c r="BJ109" s="52" t="n">
        <v>445060</v>
      </c>
      <c r="BK109" s="52" t="n">
        <v>474550</v>
      </c>
      <c r="BL109" s="52" t="n">
        <v>0</v>
      </c>
      <c r="BM109" s="52" t="n">
        <v>417120</v>
      </c>
    </row>
    <row r="110" customFormat="false" ht="15" hidden="false" customHeight="false" outlineLevel="0" collapsed="false">
      <c r="A110" s="19" t="s">
        <v>181</v>
      </c>
      <c r="B110" s="22" t="s">
        <v>280</v>
      </c>
      <c r="C110" s="19" t="s">
        <v>281</v>
      </c>
      <c r="D110" s="52" t="n">
        <v>5</v>
      </c>
      <c r="E110" s="52" t="n">
        <v>0</v>
      </c>
      <c r="F110" s="52" t="n">
        <v>0</v>
      </c>
      <c r="G110" s="52" t="n">
        <v>0</v>
      </c>
      <c r="H110" s="52" t="n">
        <v>0</v>
      </c>
      <c r="I110" s="52" t="n">
        <v>0</v>
      </c>
      <c r="J110" s="52" t="n">
        <v>0</v>
      </c>
      <c r="K110" s="52" t="n">
        <v>0</v>
      </c>
      <c r="L110" s="52" t="n">
        <v>0</v>
      </c>
      <c r="M110" s="52" t="n">
        <v>0</v>
      </c>
      <c r="N110" s="52" t="n">
        <v>0</v>
      </c>
      <c r="O110" s="52" t="n">
        <v>0</v>
      </c>
      <c r="P110" s="52" t="n">
        <v>0</v>
      </c>
      <c r="Q110" s="52" t="n">
        <v>0</v>
      </c>
      <c r="R110" s="52" t="n">
        <v>0</v>
      </c>
      <c r="S110" s="52" t="n">
        <v>0</v>
      </c>
      <c r="T110" s="52" t="n">
        <v>0</v>
      </c>
      <c r="U110" s="52" t="n">
        <v>0</v>
      </c>
      <c r="V110" s="52" t="n">
        <v>0</v>
      </c>
      <c r="W110" s="52" t="n">
        <v>0</v>
      </c>
      <c r="X110" s="52" t="n">
        <v>6008490</v>
      </c>
      <c r="Y110" s="52" t="n">
        <v>5288507</v>
      </c>
      <c r="Z110" s="52" t="n">
        <v>6001497</v>
      </c>
      <c r="AA110" s="52" t="n">
        <v>5736160</v>
      </c>
      <c r="AB110" s="52" t="n">
        <v>5795754</v>
      </c>
      <c r="AC110" s="52" t="n">
        <v>6739340</v>
      </c>
      <c r="AD110" s="52" t="n">
        <v>9321930</v>
      </c>
      <c r="AE110" s="52" t="n">
        <v>3983937</v>
      </c>
      <c r="AF110" s="52" t="n">
        <v>6264567</v>
      </c>
      <c r="AG110" s="52" t="n">
        <v>6275160</v>
      </c>
      <c r="AH110" s="52" t="n">
        <v>5540010</v>
      </c>
      <c r="AI110" s="52" t="n">
        <v>6184367</v>
      </c>
      <c r="AJ110" s="52" t="n">
        <v>6796290</v>
      </c>
      <c r="AK110" s="52" t="n">
        <v>6068767</v>
      </c>
      <c r="AL110" s="52" t="n">
        <v>6616340</v>
      </c>
      <c r="AM110" s="52" t="n">
        <v>7117004</v>
      </c>
      <c r="AN110" s="52" t="n">
        <v>5971120</v>
      </c>
      <c r="AO110" s="52" t="n">
        <v>7359240</v>
      </c>
      <c r="AP110" s="52" t="n">
        <v>6542290</v>
      </c>
      <c r="AQ110" s="52" t="n">
        <v>6602807</v>
      </c>
      <c r="AR110" s="52" t="n">
        <v>7025550</v>
      </c>
      <c r="AS110" s="52" t="n">
        <v>7575727</v>
      </c>
      <c r="AT110" s="52" t="n">
        <v>7737870</v>
      </c>
      <c r="AU110" s="52" t="n">
        <v>6945550</v>
      </c>
      <c r="AV110" s="52" t="n">
        <v>6500770</v>
      </c>
      <c r="AW110" s="52" t="n">
        <v>7759580</v>
      </c>
      <c r="AX110" s="52" t="n">
        <v>7284240</v>
      </c>
      <c r="AY110" s="52" t="n">
        <v>6859180</v>
      </c>
      <c r="AZ110" s="52" t="n">
        <v>7216388</v>
      </c>
      <c r="BA110" s="52" t="n">
        <v>6883934</v>
      </c>
      <c r="BB110" s="52" t="n">
        <v>6559700</v>
      </c>
      <c r="BC110" s="52" t="n">
        <v>7109810</v>
      </c>
      <c r="BD110" s="52" t="n">
        <v>6662924</v>
      </c>
      <c r="BE110" s="52" t="n">
        <v>6436320</v>
      </c>
      <c r="BF110" s="52" t="n">
        <v>6269340</v>
      </c>
      <c r="BG110" s="52" t="n">
        <v>6039495</v>
      </c>
      <c r="BH110" s="52" t="n">
        <v>5656720</v>
      </c>
      <c r="BI110" s="52" t="n">
        <v>7347722</v>
      </c>
      <c r="BJ110" s="52" t="n">
        <v>7598136</v>
      </c>
      <c r="BK110" s="52" t="n">
        <v>5889977</v>
      </c>
      <c r="BL110" s="52" t="n">
        <v>6334160</v>
      </c>
      <c r="BM110" s="52" t="n">
        <v>5286510</v>
      </c>
    </row>
    <row r="111" customFormat="false" ht="15" hidden="false" customHeight="false" outlineLevel="0" collapsed="false">
      <c r="A111" s="19" t="s">
        <v>181</v>
      </c>
      <c r="B111" s="22" t="s">
        <v>346</v>
      </c>
      <c r="C111" s="19" t="s">
        <v>347</v>
      </c>
      <c r="D111" s="52" t="n">
        <v>1</v>
      </c>
      <c r="E111" s="52" t="n">
        <v>0</v>
      </c>
      <c r="F111" s="52" t="n">
        <v>0</v>
      </c>
      <c r="G111" s="52" t="n">
        <v>0</v>
      </c>
      <c r="H111" s="52" t="n">
        <v>0</v>
      </c>
      <c r="I111" s="52" t="n">
        <v>0</v>
      </c>
      <c r="J111" s="52" t="n">
        <v>0</v>
      </c>
      <c r="K111" s="52" t="n">
        <v>0</v>
      </c>
      <c r="L111" s="52" t="n">
        <v>0</v>
      </c>
      <c r="M111" s="52" t="n">
        <v>0</v>
      </c>
      <c r="N111" s="52" t="n">
        <v>0</v>
      </c>
      <c r="O111" s="52" t="n">
        <v>0</v>
      </c>
      <c r="P111" s="52" t="n">
        <v>0</v>
      </c>
      <c r="Q111" s="52" t="n">
        <v>0</v>
      </c>
      <c r="R111" s="52" t="n">
        <v>0</v>
      </c>
      <c r="S111" s="52" t="n">
        <v>0</v>
      </c>
      <c r="T111" s="52" t="n">
        <v>0</v>
      </c>
      <c r="U111" s="52" t="n">
        <v>0</v>
      </c>
      <c r="V111" s="52" t="n">
        <v>0</v>
      </c>
      <c r="W111" s="52" t="n">
        <v>0</v>
      </c>
      <c r="X111" s="52" t="n">
        <v>411710</v>
      </c>
      <c r="Y111" s="52" t="n">
        <v>210590</v>
      </c>
      <c r="Z111" s="52" t="n">
        <v>263810</v>
      </c>
      <c r="AA111" s="52" t="n">
        <v>107230</v>
      </c>
      <c r="AB111" s="52" t="n">
        <v>352900</v>
      </c>
      <c r="AC111" s="52" t="n">
        <v>370330</v>
      </c>
      <c r="AD111" s="52" t="n">
        <v>382440</v>
      </c>
      <c r="AE111" s="52" t="n">
        <v>192140</v>
      </c>
      <c r="AF111" s="52" t="n">
        <v>388210</v>
      </c>
      <c r="AG111" s="52" t="n">
        <v>214840</v>
      </c>
      <c r="AH111" s="52" t="n">
        <v>367520</v>
      </c>
      <c r="AI111" s="52" t="n">
        <v>255390</v>
      </c>
      <c r="AJ111" s="52" t="n">
        <v>227970</v>
      </c>
      <c r="AK111" s="52" t="n">
        <v>288310</v>
      </c>
      <c r="AL111" s="52" t="n">
        <v>225770</v>
      </c>
      <c r="AM111" s="52" t="n">
        <v>96770</v>
      </c>
      <c r="AN111" s="52" t="n">
        <v>272340</v>
      </c>
      <c r="AO111" s="52" t="n">
        <v>274470</v>
      </c>
      <c r="AP111" s="52" t="n">
        <v>242440</v>
      </c>
      <c r="AQ111" s="52" t="n">
        <v>256160</v>
      </c>
      <c r="AR111" s="52" t="n">
        <v>362830</v>
      </c>
      <c r="AS111" s="52" t="n">
        <v>314160</v>
      </c>
      <c r="AT111" s="52" t="n">
        <v>423250</v>
      </c>
      <c r="AU111" s="52" t="n">
        <v>234160</v>
      </c>
      <c r="AV111" s="52" t="n">
        <v>356670</v>
      </c>
      <c r="AW111" s="52" t="n">
        <v>298760</v>
      </c>
      <c r="AX111" s="52" t="n">
        <v>180670</v>
      </c>
      <c r="AY111" s="52" t="n">
        <v>339320</v>
      </c>
      <c r="AZ111" s="52" t="n">
        <v>209960</v>
      </c>
      <c r="BA111" s="52" t="n">
        <v>313460</v>
      </c>
      <c r="BB111" s="52" t="n">
        <v>252640</v>
      </c>
      <c r="BC111" s="52" t="n">
        <v>357680</v>
      </c>
      <c r="BD111" s="52" t="n">
        <v>322670</v>
      </c>
      <c r="BE111" s="52" t="n">
        <v>416390</v>
      </c>
      <c r="BF111" s="52" t="n">
        <v>300210</v>
      </c>
      <c r="BG111" s="52" t="n">
        <v>325510</v>
      </c>
      <c r="BH111" s="52" t="n">
        <v>142980</v>
      </c>
      <c r="BI111" s="52" t="n">
        <v>127590</v>
      </c>
      <c r="BJ111" s="52" t="n">
        <v>241130</v>
      </c>
      <c r="BK111" s="52" t="n">
        <v>408020</v>
      </c>
      <c r="BL111" s="52" t="n">
        <v>271680</v>
      </c>
      <c r="BM111" s="52" t="n">
        <v>336050</v>
      </c>
    </row>
    <row r="112" customFormat="false" ht="15" hidden="false" customHeight="false" outlineLevel="0" collapsed="false">
      <c r="A112" s="19" t="s">
        <v>181</v>
      </c>
      <c r="B112" s="22" t="s">
        <v>406</v>
      </c>
      <c r="C112" s="19" t="s">
        <v>407</v>
      </c>
      <c r="D112" s="52" t="n">
        <v>0</v>
      </c>
      <c r="E112" s="52" t="n">
        <v>0</v>
      </c>
      <c r="F112" s="52" t="n">
        <v>0</v>
      </c>
      <c r="G112" s="52" t="n">
        <v>0</v>
      </c>
      <c r="H112" s="52" t="n">
        <v>0</v>
      </c>
      <c r="I112" s="52" t="n">
        <v>0</v>
      </c>
      <c r="J112" s="52" t="n">
        <v>0</v>
      </c>
      <c r="K112" s="52" t="n">
        <v>0</v>
      </c>
      <c r="L112" s="52" t="n">
        <v>0</v>
      </c>
      <c r="M112" s="52" t="n">
        <v>0</v>
      </c>
      <c r="N112" s="52" t="n">
        <v>0</v>
      </c>
      <c r="O112" s="52" t="n">
        <v>0</v>
      </c>
      <c r="P112" s="52" t="n">
        <v>0</v>
      </c>
      <c r="Q112" s="52" t="n">
        <v>0</v>
      </c>
      <c r="R112" s="52" t="n">
        <v>0</v>
      </c>
      <c r="S112" s="52" t="n">
        <v>0</v>
      </c>
      <c r="T112" s="52" t="n">
        <v>0</v>
      </c>
      <c r="U112" s="52" t="n">
        <v>0</v>
      </c>
      <c r="V112" s="52" t="n">
        <v>0</v>
      </c>
      <c r="W112" s="52" t="n">
        <v>0</v>
      </c>
      <c r="X112" s="52" t="n">
        <v>616950</v>
      </c>
      <c r="Y112" s="52" t="n">
        <v>528330</v>
      </c>
      <c r="Z112" s="52" t="n">
        <v>464460</v>
      </c>
      <c r="AA112" s="52" t="n">
        <v>459150</v>
      </c>
      <c r="AB112" s="52" t="n">
        <v>378210</v>
      </c>
      <c r="AC112" s="52" t="n">
        <v>726151</v>
      </c>
      <c r="AD112" s="52" t="n">
        <v>817360</v>
      </c>
      <c r="AE112" s="52" t="n">
        <v>130250</v>
      </c>
      <c r="AF112" s="52" t="n">
        <v>434050</v>
      </c>
      <c r="AG112" s="52" t="n">
        <v>644710</v>
      </c>
      <c r="AH112" s="52" t="n">
        <v>420980</v>
      </c>
      <c r="AI112" s="52" t="n">
        <v>678540</v>
      </c>
      <c r="AJ112" s="52" t="n">
        <v>508808</v>
      </c>
      <c r="AK112" s="52" t="n">
        <v>727700</v>
      </c>
      <c r="AL112" s="52" t="n">
        <v>567280</v>
      </c>
      <c r="AM112" s="52" t="n">
        <v>662420</v>
      </c>
      <c r="AN112" s="52" t="n">
        <v>407380</v>
      </c>
      <c r="AO112" s="52" t="n">
        <v>104000</v>
      </c>
      <c r="AP112" s="52" t="n">
        <v>143000</v>
      </c>
      <c r="AQ112" s="52" t="n">
        <v>95830</v>
      </c>
      <c r="AR112" s="52" t="n">
        <v>0</v>
      </c>
      <c r="AS112" s="52" t="n">
        <v>128100</v>
      </c>
      <c r="AT112" s="52" t="n">
        <v>707800</v>
      </c>
      <c r="AU112" s="52" t="n">
        <v>0</v>
      </c>
      <c r="AV112" s="52" t="n">
        <v>0</v>
      </c>
      <c r="AW112" s="52" t="n">
        <v>0</v>
      </c>
      <c r="AX112" s="52" t="n">
        <v>0</v>
      </c>
      <c r="AY112" s="52" t="n">
        <v>0</v>
      </c>
      <c r="AZ112" s="52" t="n">
        <v>0</v>
      </c>
      <c r="BA112" s="52" t="n">
        <v>0</v>
      </c>
      <c r="BB112" s="52" t="n">
        <v>0</v>
      </c>
      <c r="BC112" s="52" t="n">
        <v>0</v>
      </c>
      <c r="BD112" s="52" t="n">
        <v>0</v>
      </c>
      <c r="BE112" s="52" t="n">
        <v>0</v>
      </c>
      <c r="BF112" s="52" t="n">
        <v>0</v>
      </c>
      <c r="BG112" s="52" t="n">
        <v>0</v>
      </c>
      <c r="BH112" s="52" t="n">
        <v>0</v>
      </c>
      <c r="BI112" s="52" t="n">
        <v>0</v>
      </c>
      <c r="BJ112" s="52" t="n">
        <v>0</v>
      </c>
      <c r="BK112" s="52" t="n">
        <v>0</v>
      </c>
      <c r="BL112" s="52" t="n">
        <v>0</v>
      </c>
      <c r="BM112" s="52" t="n">
        <v>0</v>
      </c>
    </row>
    <row r="113" customFormat="false" ht="15" hidden="false" customHeight="false" outlineLevel="0" collapsed="false">
      <c r="A113" s="19" t="s">
        <v>181</v>
      </c>
      <c r="B113" s="22" t="s">
        <v>352</v>
      </c>
      <c r="C113" s="19" t="s">
        <v>353</v>
      </c>
      <c r="D113" s="52" t="n">
        <v>0</v>
      </c>
      <c r="E113" s="52" t="n">
        <v>0</v>
      </c>
      <c r="F113" s="52" t="n">
        <v>0</v>
      </c>
      <c r="G113" s="52" t="n">
        <v>0</v>
      </c>
      <c r="H113" s="52" t="n">
        <v>0</v>
      </c>
      <c r="I113" s="52" t="n">
        <v>0</v>
      </c>
      <c r="J113" s="52" t="n">
        <v>0</v>
      </c>
      <c r="K113" s="52" t="n">
        <v>0</v>
      </c>
      <c r="L113" s="52" t="n">
        <v>0</v>
      </c>
      <c r="M113" s="52" t="n">
        <v>0</v>
      </c>
      <c r="N113" s="52" t="n">
        <v>0</v>
      </c>
      <c r="O113" s="52" t="n">
        <v>0</v>
      </c>
      <c r="P113" s="52" t="n">
        <v>0</v>
      </c>
      <c r="Q113" s="52" t="n">
        <v>0</v>
      </c>
      <c r="R113" s="52" t="n">
        <v>0</v>
      </c>
      <c r="S113" s="52" t="n">
        <v>0</v>
      </c>
      <c r="T113" s="52" t="n">
        <v>0</v>
      </c>
      <c r="U113" s="52" t="n">
        <v>0</v>
      </c>
      <c r="V113" s="52" t="n">
        <v>0</v>
      </c>
      <c r="W113" s="52" t="n">
        <v>0</v>
      </c>
      <c r="X113" s="52" t="n">
        <v>876370</v>
      </c>
      <c r="Y113" s="52" t="n">
        <v>551030</v>
      </c>
      <c r="Z113" s="52" t="n">
        <v>795920</v>
      </c>
      <c r="AA113" s="52" t="n">
        <v>508660</v>
      </c>
      <c r="AB113" s="52" t="n">
        <v>1073910</v>
      </c>
      <c r="AC113" s="52" t="n">
        <v>945320</v>
      </c>
      <c r="AD113" s="52" t="n">
        <v>639680</v>
      </c>
      <c r="AE113" s="52" t="n">
        <v>201400</v>
      </c>
      <c r="AF113" s="52" t="n">
        <v>1066370</v>
      </c>
      <c r="AG113" s="52" t="n">
        <v>669390</v>
      </c>
      <c r="AH113" s="52" t="n">
        <v>517360</v>
      </c>
      <c r="AI113" s="52" t="n">
        <v>698680</v>
      </c>
      <c r="AJ113" s="52" t="n">
        <v>519910</v>
      </c>
      <c r="AK113" s="52" t="n">
        <v>675780</v>
      </c>
      <c r="AL113" s="52" t="n">
        <v>747660</v>
      </c>
      <c r="AM113" s="52" t="n">
        <v>502010</v>
      </c>
      <c r="AN113" s="52" t="n">
        <v>714640</v>
      </c>
      <c r="AO113" s="52" t="n">
        <v>859030</v>
      </c>
      <c r="AP113" s="52" t="n">
        <v>787230</v>
      </c>
      <c r="AQ113" s="52" t="n">
        <v>470090</v>
      </c>
      <c r="AR113" s="52" t="n">
        <v>864190</v>
      </c>
      <c r="AS113" s="52" t="n">
        <v>503260</v>
      </c>
      <c r="AT113" s="52" t="n">
        <v>704760</v>
      </c>
      <c r="AU113" s="52" t="n">
        <v>334050</v>
      </c>
      <c r="AV113" s="52" t="n">
        <v>402360</v>
      </c>
      <c r="AW113" s="52" t="n">
        <v>464080</v>
      </c>
      <c r="AX113" s="52" t="n">
        <v>220630</v>
      </c>
      <c r="AY113" s="52" t="n">
        <v>528430</v>
      </c>
      <c r="AZ113" s="52" t="n">
        <v>94300</v>
      </c>
      <c r="BA113" s="52" t="n">
        <v>106470</v>
      </c>
      <c r="BB113" s="52" t="n">
        <v>291460</v>
      </c>
      <c r="BC113" s="52" t="n">
        <v>104600</v>
      </c>
      <c r="BD113" s="52" t="n">
        <v>275090</v>
      </c>
      <c r="BE113" s="52" t="n">
        <v>0</v>
      </c>
      <c r="BF113" s="52" t="n">
        <v>493020</v>
      </c>
      <c r="BG113" s="52" t="n">
        <v>98700</v>
      </c>
      <c r="BH113" s="52" t="n">
        <v>106510</v>
      </c>
      <c r="BI113" s="52" t="n">
        <v>434780</v>
      </c>
      <c r="BJ113" s="52" t="n">
        <v>199650</v>
      </c>
      <c r="BK113" s="52" t="n">
        <v>198970</v>
      </c>
      <c r="BL113" s="52" t="n">
        <v>96160</v>
      </c>
      <c r="BM113" s="52" t="n">
        <v>0</v>
      </c>
    </row>
    <row r="114" customFormat="false" ht="15" hidden="false" customHeight="false" outlineLevel="0" collapsed="false">
      <c r="A114" s="19" t="s">
        <v>181</v>
      </c>
      <c r="B114" s="22" t="s">
        <v>310</v>
      </c>
      <c r="C114" s="19" t="s">
        <v>311</v>
      </c>
      <c r="D114" s="52" t="n">
        <v>2</v>
      </c>
      <c r="E114" s="52" t="n">
        <v>0</v>
      </c>
      <c r="F114" s="52" t="n">
        <v>0</v>
      </c>
      <c r="G114" s="52" t="n">
        <v>0</v>
      </c>
      <c r="H114" s="52" t="n">
        <v>0</v>
      </c>
      <c r="I114" s="52" t="n">
        <v>0</v>
      </c>
      <c r="J114" s="52" t="n">
        <v>0</v>
      </c>
      <c r="K114" s="52" t="n">
        <v>0</v>
      </c>
      <c r="L114" s="52" t="n">
        <v>0</v>
      </c>
      <c r="M114" s="52" t="n">
        <v>0</v>
      </c>
      <c r="N114" s="52" t="n">
        <v>0</v>
      </c>
      <c r="O114" s="52" t="n">
        <v>0</v>
      </c>
      <c r="P114" s="52" t="n">
        <v>0</v>
      </c>
      <c r="Q114" s="52" t="n">
        <v>0</v>
      </c>
      <c r="R114" s="52" t="n">
        <v>0</v>
      </c>
      <c r="S114" s="52" t="n">
        <v>0</v>
      </c>
      <c r="T114" s="52" t="n">
        <v>0</v>
      </c>
      <c r="U114" s="52" t="n">
        <v>0</v>
      </c>
      <c r="V114" s="52" t="n">
        <v>0</v>
      </c>
      <c r="W114" s="52" t="n">
        <v>0</v>
      </c>
      <c r="X114" s="52" t="n">
        <v>520306</v>
      </c>
      <c r="Y114" s="52" t="n">
        <v>675148</v>
      </c>
      <c r="Z114" s="52" t="n">
        <v>562304</v>
      </c>
      <c r="AA114" s="52" t="n">
        <v>561376</v>
      </c>
      <c r="AB114" s="52" t="n">
        <v>1048430</v>
      </c>
      <c r="AC114" s="52" t="n">
        <v>676527</v>
      </c>
      <c r="AD114" s="52" t="n">
        <v>687710</v>
      </c>
      <c r="AE114" s="52" t="n">
        <v>119620</v>
      </c>
      <c r="AF114" s="52" t="n">
        <v>667443</v>
      </c>
      <c r="AG114" s="52" t="n">
        <v>638478</v>
      </c>
      <c r="AH114" s="52" t="n">
        <v>1477713</v>
      </c>
      <c r="AI114" s="52" t="n">
        <v>971439</v>
      </c>
      <c r="AJ114" s="52" t="n">
        <v>1375015</v>
      </c>
      <c r="AK114" s="52" t="n">
        <v>640398</v>
      </c>
      <c r="AL114" s="52" t="n">
        <v>717257</v>
      </c>
      <c r="AM114" s="52" t="n">
        <v>675842</v>
      </c>
      <c r="AN114" s="52" t="n">
        <v>1120078</v>
      </c>
      <c r="AO114" s="52" t="n">
        <v>776960</v>
      </c>
      <c r="AP114" s="52" t="n">
        <v>903273</v>
      </c>
      <c r="AQ114" s="52" t="n">
        <v>1129167</v>
      </c>
      <c r="AR114" s="52" t="n">
        <v>2283480</v>
      </c>
      <c r="AS114" s="52" t="n">
        <v>2362522</v>
      </c>
      <c r="AT114" s="52" t="n">
        <v>1730694</v>
      </c>
      <c r="AU114" s="52" t="n">
        <v>3004495</v>
      </c>
      <c r="AV114" s="52" t="n">
        <v>3391302</v>
      </c>
      <c r="AW114" s="52" t="n">
        <v>2900331</v>
      </c>
      <c r="AX114" s="52" t="n">
        <v>3280784</v>
      </c>
      <c r="AY114" s="52" t="n">
        <v>2794697</v>
      </c>
      <c r="AZ114" s="52" t="n">
        <v>3077082</v>
      </c>
      <c r="BA114" s="52" t="n">
        <v>3162642</v>
      </c>
      <c r="BB114" s="52" t="n">
        <v>3469143</v>
      </c>
      <c r="BC114" s="52" t="n">
        <v>2977463</v>
      </c>
      <c r="BD114" s="52" t="n">
        <v>3223276</v>
      </c>
      <c r="BE114" s="52" t="n">
        <v>2589242</v>
      </c>
      <c r="BF114" s="52" t="n">
        <v>2913667</v>
      </c>
      <c r="BG114" s="52" t="n">
        <v>3866461</v>
      </c>
      <c r="BH114" s="52" t="n">
        <v>3866481</v>
      </c>
      <c r="BI114" s="52" t="n">
        <v>2603236</v>
      </c>
      <c r="BJ114" s="52" t="n">
        <v>2835533</v>
      </c>
      <c r="BK114" s="52" t="n">
        <v>3040362</v>
      </c>
      <c r="BL114" s="52" t="n">
        <v>2560324</v>
      </c>
      <c r="BM114" s="52" t="n">
        <v>2711788</v>
      </c>
    </row>
    <row r="115" customFormat="false" ht="15" hidden="false" customHeight="false" outlineLevel="0" collapsed="false">
      <c r="A115" s="19" t="s">
        <v>181</v>
      </c>
      <c r="B115" s="22" t="s">
        <v>350</v>
      </c>
      <c r="C115" s="19" t="s">
        <v>351</v>
      </c>
      <c r="D115" s="52" t="n">
        <v>1</v>
      </c>
      <c r="E115" s="52" t="n">
        <v>0</v>
      </c>
      <c r="F115" s="52" t="n">
        <v>0</v>
      </c>
      <c r="G115" s="52" t="n">
        <v>0</v>
      </c>
      <c r="H115" s="52" t="n">
        <v>0</v>
      </c>
      <c r="I115" s="52" t="n">
        <v>0</v>
      </c>
      <c r="J115" s="52" t="n">
        <v>0</v>
      </c>
      <c r="K115" s="52" t="n">
        <v>0</v>
      </c>
      <c r="L115" s="52" t="n">
        <v>0</v>
      </c>
      <c r="M115" s="52" t="n">
        <v>0</v>
      </c>
      <c r="N115" s="52" t="n">
        <v>0</v>
      </c>
      <c r="O115" s="52" t="n">
        <v>0</v>
      </c>
      <c r="P115" s="52" t="n">
        <v>0</v>
      </c>
      <c r="Q115" s="52" t="n">
        <v>0</v>
      </c>
      <c r="R115" s="52" t="n">
        <v>0</v>
      </c>
      <c r="S115" s="52" t="n">
        <v>0</v>
      </c>
      <c r="T115" s="52" t="n">
        <v>0</v>
      </c>
      <c r="U115" s="52" t="n">
        <v>0</v>
      </c>
      <c r="V115" s="52" t="n">
        <v>0</v>
      </c>
      <c r="W115" s="52" t="n">
        <v>0</v>
      </c>
      <c r="X115" s="52" t="n">
        <v>199350</v>
      </c>
      <c r="Y115" s="52" t="n">
        <v>380000</v>
      </c>
      <c r="Z115" s="52" t="n">
        <v>532000</v>
      </c>
      <c r="AA115" s="52" t="n">
        <v>213000</v>
      </c>
      <c r="AB115" s="52" t="n">
        <v>0</v>
      </c>
      <c r="AC115" s="52" t="n">
        <v>581630</v>
      </c>
      <c r="AD115" s="52" t="n">
        <v>532000</v>
      </c>
      <c r="AE115" s="52" t="n">
        <v>0</v>
      </c>
      <c r="AF115" s="52" t="n">
        <v>198400</v>
      </c>
      <c r="AG115" s="52" t="n">
        <v>233800</v>
      </c>
      <c r="AH115" s="52" t="n">
        <v>228000</v>
      </c>
      <c r="AI115" s="52" t="n">
        <v>646000</v>
      </c>
      <c r="AJ115" s="52" t="n">
        <v>190000</v>
      </c>
      <c r="AK115" s="52" t="n">
        <v>456000</v>
      </c>
      <c r="AL115" s="52" t="n">
        <v>0</v>
      </c>
      <c r="AM115" s="52" t="n">
        <v>456000</v>
      </c>
      <c r="AN115" s="52" t="n">
        <v>0</v>
      </c>
      <c r="AO115" s="52" t="n">
        <v>380000</v>
      </c>
      <c r="AP115" s="52" t="n">
        <v>206850</v>
      </c>
      <c r="AQ115" s="52" t="n">
        <v>380000</v>
      </c>
      <c r="AR115" s="52" t="n">
        <v>304000</v>
      </c>
      <c r="AS115" s="52" t="n">
        <v>190000</v>
      </c>
      <c r="AT115" s="52" t="n">
        <v>384350</v>
      </c>
      <c r="AU115" s="52" t="n">
        <v>0</v>
      </c>
      <c r="AV115" s="52" t="n">
        <v>380000</v>
      </c>
      <c r="AW115" s="52" t="n">
        <v>200650</v>
      </c>
      <c r="AX115" s="52" t="n">
        <v>461760</v>
      </c>
      <c r="AY115" s="52" t="n">
        <v>190000</v>
      </c>
      <c r="AZ115" s="52" t="n">
        <v>190000</v>
      </c>
      <c r="BA115" s="52" t="n">
        <v>0</v>
      </c>
      <c r="BB115" s="52" t="n">
        <v>608000</v>
      </c>
      <c r="BC115" s="52" t="n">
        <v>380000</v>
      </c>
      <c r="BD115" s="52" t="n">
        <v>190000</v>
      </c>
      <c r="BE115" s="52" t="n">
        <v>190000</v>
      </c>
      <c r="BF115" s="52" t="n">
        <v>190000</v>
      </c>
      <c r="BG115" s="52" t="n">
        <v>190000</v>
      </c>
      <c r="BH115" s="52" t="n">
        <v>342000</v>
      </c>
      <c r="BI115" s="52" t="n">
        <v>494000</v>
      </c>
      <c r="BJ115" s="52" t="n">
        <v>190000</v>
      </c>
      <c r="BK115" s="52" t="n">
        <v>0</v>
      </c>
      <c r="BL115" s="52" t="n">
        <v>194350</v>
      </c>
      <c r="BM115" s="52" t="n">
        <v>190000</v>
      </c>
    </row>
    <row r="116" customFormat="false" ht="15" hidden="false" customHeight="false" outlineLevel="0" collapsed="false">
      <c r="A116" s="19" t="s">
        <v>181</v>
      </c>
      <c r="B116" s="22" t="s">
        <v>408</v>
      </c>
      <c r="C116" s="22" t="s">
        <v>409</v>
      </c>
      <c r="D116" s="52" t="n">
        <v>0</v>
      </c>
      <c r="E116" s="52" t="n">
        <v>0</v>
      </c>
      <c r="F116" s="52" t="n">
        <v>0</v>
      </c>
      <c r="G116" s="52" t="n">
        <v>0</v>
      </c>
      <c r="H116" s="52" t="n">
        <v>0</v>
      </c>
      <c r="I116" s="52" t="n">
        <v>0</v>
      </c>
      <c r="J116" s="52" t="n">
        <v>0</v>
      </c>
      <c r="K116" s="52" t="n">
        <v>0</v>
      </c>
      <c r="L116" s="52" t="n">
        <v>0</v>
      </c>
      <c r="M116" s="52" t="n">
        <v>0</v>
      </c>
      <c r="N116" s="52" t="n">
        <v>0</v>
      </c>
      <c r="O116" s="52" t="n">
        <v>0</v>
      </c>
      <c r="P116" s="52" t="n">
        <v>0</v>
      </c>
      <c r="Q116" s="52" t="n">
        <v>0</v>
      </c>
      <c r="R116" s="52" t="n">
        <v>0</v>
      </c>
      <c r="S116" s="52" t="n">
        <v>0</v>
      </c>
      <c r="T116" s="52" t="n">
        <v>0</v>
      </c>
      <c r="U116" s="52" t="n">
        <v>0</v>
      </c>
      <c r="V116" s="52" t="n">
        <v>0</v>
      </c>
      <c r="W116" s="52" t="n">
        <v>0</v>
      </c>
      <c r="X116" s="52" t="n">
        <v>299510</v>
      </c>
      <c r="Y116" s="52" t="n">
        <v>511584</v>
      </c>
      <c r="Z116" s="52" t="n">
        <v>685470</v>
      </c>
      <c r="AA116" s="52" t="n">
        <v>553352</v>
      </c>
      <c r="AB116" s="52" t="n">
        <v>394070</v>
      </c>
      <c r="AC116" s="52" t="n">
        <v>512450</v>
      </c>
      <c r="AD116" s="52" t="n">
        <v>388420</v>
      </c>
      <c r="AE116" s="52" t="n">
        <v>189630</v>
      </c>
      <c r="AF116" s="52" t="n">
        <v>398440</v>
      </c>
      <c r="AG116" s="52" t="n">
        <v>105240</v>
      </c>
      <c r="AH116" s="52" t="n">
        <v>197800</v>
      </c>
      <c r="AI116" s="52" t="n">
        <v>0</v>
      </c>
      <c r="AJ116" s="52" t="n">
        <v>0</v>
      </c>
      <c r="AK116" s="52" t="n">
        <v>0</v>
      </c>
      <c r="AL116" s="52" t="n">
        <v>170000</v>
      </c>
      <c r="AM116" s="52" t="n">
        <v>239734</v>
      </c>
      <c r="AN116" s="52" t="n">
        <v>97390</v>
      </c>
      <c r="AO116" s="52" t="n">
        <v>97515</v>
      </c>
      <c r="AP116" s="52" t="n">
        <v>100285</v>
      </c>
      <c r="AQ116" s="52" t="n">
        <v>0</v>
      </c>
      <c r="AR116" s="52" t="n">
        <v>0</v>
      </c>
      <c r="AS116" s="52" t="n">
        <v>126790</v>
      </c>
      <c r="AT116" s="52" t="n">
        <v>0</v>
      </c>
      <c r="AU116" s="52" t="n">
        <v>200713</v>
      </c>
      <c r="AV116" s="52" t="n">
        <v>0</v>
      </c>
      <c r="AW116" s="52" t="n">
        <v>0</v>
      </c>
      <c r="AX116" s="52" t="n">
        <v>0</v>
      </c>
      <c r="AY116" s="52" t="n">
        <v>0</v>
      </c>
      <c r="AZ116" s="52" t="n">
        <v>0</v>
      </c>
      <c r="BA116" s="52" t="n">
        <v>0</v>
      </c>
      <c r="BB116" s="52" t="n">
        <v>0</v>
      </c>
      <c r="BC116" s="52" t="n">
        <v>0</v>
      </c>
      <c r="BD116" s="52" t="n">
        <v>0</v>
      </c>
      <c r="BE116" s="52" t="n">
        <v>0</v>
      </c>
      <c r="BF116" s="52" t="n">
        <v>0</v>
      </c>
      <c r="BG116" s="52" t="n">
        <v>0</v>
      </c>
      <c r="BH116" s="52" t="n">
        <v>0</v>
      </c>
      <c r="BI116" s="52" t="n">
        <v>0</v>
      </c>
      <c r="BJ116" s="52" t="n">
        <v>0</v>
      </c>
      <c r="BK116" s="52" t="n">
        <v>0</v>
      </c>
      <c r="BL116" s="52" t="n">
        <v>0</v>
      </c>
      <c r="BM116" s="52" t="n">
        <v>0</v>
      </c>
    </row>
    <row r="117" customFormat="false" ht="15" hidden="false" customHeight="false" outlineLevel="0" collapsed="false">
      <c r="A117" s="19" t="s">
        <v>181</v>
      </c>
      <c r="B117" s="22" t="s">
        <v>302</v>
      </c>
      <c r="C117" s="22" t="s">
        <v>303</v>
      </c>
      <c r="D117" s="52" t="n">
        <v>7</v>
      </c>
      <c r="E117" s="52" t="n">
        <v>0</v>
      </c>
      <c r="F117" s="52" t="n">
        <v>0</v>
      </c>
      <c r="G117" s="52" t="n">
        <v>0</v>
      </c>
      <c r="H117" s="52" t="n">
        <v>0</v>
      </c>
      <c r="I117" s="52" t="n">
        <v>0</v>
      </c>
      <c r="J117" s="52" t="n">
        <v>0</v>
      </c>
      <c r="K117" s="52" t="n">
        <v>0</v>
      </c>
      <c r="L117" s="52" t="n">
        <v>0</v>
      </c>
      <c r="M117" s="52" t="n">
        <v>0</v>
      </c>
      <c r="N117" s="52" t="n">
        <v>0</v>
      </c>
      <c r="O117" s="52" t="n">
        <v>0</v>
      </c>
      <c r="P117" s="52" t="n">
        <v>0</v>
      </c>
      <c r="Q117" s="52" t="n">
        <v>0</v>
      </c>
      <c r="R117" s="52" t="n">
        <v>0</v>
      </c>
      <c r="S117" s="52" t="n">
        <v>0</v>
      </c>
      <c r="T117" s="52" t="n">
        <v>0</v>
      </c>
      <c r="U117" s="52" t="n">
        <v>0</v>
      </c>
      <c r="V117" s="52" t="n">
        <v>0</v>
      </c>
      <c r="W117" s="52" t="n">
        <v>0</v>
      </c>
      <c r="X117" s="52" t="n">
        <v>5994570</v>
      </c>
      <c r="Y117" s="52" t="n">
        <v>5057630</v>
      </c>
      <c r="Z117" s="52" t="n">
        <v>5507770</v>
      </c>
      <c r="AA117" s="52" t="n">
        <v>5442800</v>
      </c>
      <c r="AB117" s="52" t="n">
        <v>5583510</v>
      </c>
      <c r="AC117" s="52" t="n">
        <v>5938770</v>
      </c>
      <c r="AD117" s="52" t="n">
        <v>7149840</v>
      </c>
      <c r="AE117" s="52" t="n">
        <v>2845200</v>
      </c>
      <c r="AF117" s="52" t="n">
        <v>4481390</v>
      </c>
      <c r="AG117" s="52" t="n">
        <v>4482850</v>
      </c>
      <c r="AH117" s="52" t="n">
        <v>5438570</v>
      </c>
      <c r="AI117" s="52" t="n">
        <v>5358220</v>
      </c>
      <c r="AJ117" s="52" t="n">
        <v>5133200</v>
      </c>
      <c r="AK117" s="52" t="n">
        <v>4835890</v>
      </c>
      <c r="AL117" s="52" t="n">
        <v>4264540</v>
      </c>
      <c r="AM117" s="52" t="n">
        <v>5120100</v>
      </c>
      <c r="AN117" s="52" t="n">
        <v>4628470</v>
      </c>
      <c r="AO117" s="52" t="n">
        <v>5008370</v>
      </c>
      <c r="AP117" s="52" t="n">
        <v>4748380</v>
      </c>
      <c r="AQ117" s="52" t="n">
        <v>3762030</v>
      </c>
      <c r="AR117" s="52" t="n">
        <v>5485260</v>
      </c>
      <c r="AS117" s="52" t="n">
        <v>4676140</v>
      </c>
      <c r="AT117" s="52" t="n">
        <v>4469000</v>
      </c>
      <c r="AU117" s="52" t="n">
        <v>4524600</v>
      </c>
      <c r="AV117" s="52" t="n">
        <v>4874170</v>
      </c>
      <c r="AW117" s="52" t="n">
        <v>4593460</v>
      </c>
      <c r="AX117" s="52" t="n">
        <v>4684610</v>
      </c>
      <c r="AY117" s="52" t="n">
        <v>4508430</v>
      </c>
      <c r="AZ117" s="52" t="n">
        <v>4406400</v>
      </c>
      <c r="BA117" s="52" t="n">
        <v>4379680</v>
      </c>
      <c r="BB117" s="52" t="n">
        <v>4629200</v>
      </c>
      <c r="BC117" s="52" t="n">
        <v>4321120</v>
      </c>
      <c r="BD117" s="52" t="n">
        <v>4133830</v>
      </c>
      <c r="BE117" s="52" t="n">
        <v>4079510</v>
      </c>
      <c r="BF117" s="52" t="n">
        <v>4038240</v>
      </c>
      <c r="BG117" s="52" t="n">
        <v>4436490</v>
      </c>
      <c r="BH117" s="52" t="n">
        <v>4555680</v>
      </c>
      <c r="BI117" s="52" t="n">
        <v>4715610</v>
      </c>
      <c r="BJ117" s="52" t="n">
        <v>3492590</v>
      </c>
      <c r="BK117" s="52" t="n">
        <v>4007870</v>
      </c>
      <c r="BL117" s="52" t="n">
        <v>3955870</v>
      </c>
      <c r="BM117" s="52" t="n">
        <v>3715340</v>
      </c>
    </row>
    <row r="118" customFormat="false" ht="15" hidden="false" customHeight="false" outlineLevel="0" collapsed="false">
      <c r="A118" s="19" t="s">
        <v>181</v>
      </c>
      <c r="B118" s="22" t="s">
        <v>356</v>
      </c>
      <c r="C118" s="22" t="s">
        <v>357</v>
      </c>
      <c r="D118" s="52" t="n">
        <v>0</v>
      </c>
      <c r="E118" s="52" t="n">
        <v>0</v>
      </c>
      <c r="F118" s="52" t="n">
        <v>0</v>
      </c>
      <c r="G118" s="52" t="n">
        <v>0</v>
      </c>
      <c r="H118" s="52" t="n">
        <v>0</v>
      </c>
      <c r="I118" s="52" t="n">
        <v>0</v>
      </c>
      <c r="J118" s="52" t="n">
        <v>0</v>
      </c>
      <c r="K118" s="52" t="n">
        <v>0</v>
      </c>
      <c r="L118" s="52" t="n">
        <v>0</v>
      </c>
      <c r="M118" s="52" t="n">
        <v>0</v>
      </c>
      <c r="N118" s="52" t="n">
        <v>0</v>
      </c>
      <c r="O118" s="52" t="n">
        <v>0</v>
      </c>
      <c r="P118" s="52" t="n">
        <v>0</v>
      </c>
      <c r="Q118" s="52" t="n">
        <v>0</v>
      </c>
      <c r="R118" s="52" t="n">
        <v>0</v>
      </c>
      <c r="S118" s="52" t="n">
        <v>0</v>
      </c>
      <c r="T118" s="52" t="n">
        <v>0</v>
      </c>
      <c r="U118" s="52" t="n">
        <v>0</v>
      </c>
      <c r="V118" s="52" t="n">
        <v>0</v>
      </c>
      <c r="W118" s="52" t="n">
        <v>0</v>
      </c>
      <c r="X118" s="52" t="n">
        <v>13050</v>
      </c>
      <c r="Y118" s="52" t="n">
        <v>48870</v>
      </c>
      <c r="Z118" s="52" t="n">
        <v>0</v>
      </c>
      <c r="AA118" s="52" t="n">
        <v>0</v>
      </c>
      <c r="AB118" s="52" t="n">
        <v>0</v>
      </c>
      <c r="AC118" s="52" t="n">
        <v>0</v>
      </c>
      <c r="AD118" s="52" t="n">
        <v>0</v>
      </c>
      <c r="AE118" s="52" t="n">
        <v>0</v>
      </c>
      <c r="AF118" s="52" t="n">
        <v>205760</v>
      </c>
      <c r="AG118" s="52" t="n">
        <v>0</v>
      </c>
      <c r="AH118" s="52" t="n">
        <v>0</v>
      </c>
      <c r="AI118" s="52" t="n">
        <v>0</v>
      </c>
      <c r="AJ118" s="52" t="n">
        <v>232800</v>
      </c>
      <c r="AK118" s="52" t="n">
        <v>0</v>
      </c>
      <c r="AL118" s="52" t="n">
        <v>0</v>
      </c>
      <c r="AM118" s="52" t="n">
        <v>0</v>
      </c>
      <c r="AN118" s="52" t="n">
        <v>0</v>
      </c>
      <c r="AO118" s="52" t="n">
        <v>0</v>
      </c>
      <c r="AP118" s="52" t="n">
        <v>0</v>
      </c>
      <c r="AQ118" s="52" t="n">
        <v>0</v>
      </c>
      <c r="AR118" s="52" t="n">
        <v>261110</v>
      </c>
      <c r="AS118" s="52" t="n">
        <v>0</v>
      </c>
      <c r="AT118" s="52" t="n">
        <v>0</v>
      </c>
      <c r="AU118" s="52" t="n">
        <v>0</v>
      </c>
      <c r="AV118" s="52" t="n">
        <v>0</v>
      </c>
      <c r="AW118" s="52" t="n">
        <v>0</v>
      </c>
      <c r="AX118" s="52" t="n">
        <v>0</v>
      </c>
      <c r="AY118" s="52" t="n">
        <v>0</v>
      </c>
      <c r="AZ118" s="52" t="n">
        <v>0</v>
      </c>
      <c r="BA118" s="52" t="n">
        <v>279150</v>
      </c>
      <c r="BB118" s="52" t="n">
        <v>0</v>
      </c>
      <c r="BC118" s="52" t="n">
        <v>0</v>
      </c>
      <c r="BD118" s="52" t="n">
        <v>0</v>
      </c>
      <c r="BE118" s="52" t="n">
        <v>0</v>
      </c>
      <c r="BF118" s="52" t="n">
        <v>0</v>
      </c>
      <c r="BG118" s="52" t="n">
        <v>0</v>
      </c>
      <c r="BH118" s="52" t="n">
        <v>0</v>
      </c>
      <c r="BI118" s="52" t="n">
        <v>0</v>
      </c>
      <c r="BJ118" s="52" t="n">
        <v>249400</v>
      </c>
      <c r="BK118" s="52" t="n">
        <v>0</v>
      </c>
      <c r="BL118" s="52" t="n">
        <v>0</v>
      </c>
      <c r="BM118" s="52" t="n">
        <v>0</v>
      </c>
    </row>
    <row r="119" customFormat="false" ht="15" hidden="false" customHeight="false" outlineLevel="0" collapsed="false">
      <c r="A119" s="19" t="s">
        <v>181</v>
      </c>
      <c r="B119" s="22" t="s">
        <v>312</v>
      </c>
      <c r="C119" s="22" t="s">
        <v>313</v>
      </c>
      <c r="D119" s="52" t="n">
        <v>8</v>
      </c>
      <c r="E119" s="52" t="n">
        <v>0</v>
      </c>
      <c r="F119" s="52" t="n">
        <v>0</v>
      </c>
      <c r="G119" s="52" t="n">
        <v>0</v>
      </c>
      <c r="H119" s="52" t="n">
        <v>0</v>
      </c>
      <c r="I119" s="52" t="n">
        <v>0</v>
      </c>
      <c r="J119" s="52" t="n">
        <v>0</v>
      </c>
      <c r="K119" s="52" t="n">
        <v>0</v>
      </c>
      <c r="L119" s="52" t="n">
        <v>0</v>
      </c>
      <c r="M119" s="52" t="n">
        <v>0</v>
      </c>
      <c r="N119" s="52" t="n">
        <v>0</v>
      </c>
      <c r="O119" s="52" t="n">
        <v>0</v>
      </c>
      <c r="P119" s="52" t="n">
        <v>0</v>
      </c>
      <c r="Q119" s="52" t="n">
        <v>0</v>
      </c>
      <c r="R119" s="52" t="n">
        <v>0</v>
      </c>
      <c r="S119" s="52" t="n">
        <v>0</v>
      </c>
      <c r="T119" s="52" t="n">
        <v>0</v>
      </c>
      <c r="U119" s="52" t="n">
        <v>0</v>
      </c>
      <c r="V119" s="52" t="n">
        <v>0</v>
      </c>
      <c r="W119" s="52" t="n">
        <v>0</v>
      </c>
      <c r="X119" s="52" t="n">
        <v>3760850</v>
      </c>
      <c r="Y119" s="52" t="n">
        <v>1938470</v>
      </c>
      <c r="Z119" s="52" t="n">
        <v>2517780</v>
      </c>
      <c r="AA119" s="52" t="n">
        <v>2372410</v>
      </c>
      <c r="AB119" s="52" t="n">
        <v>2696440</v>
      </c>
      <c r="AC119" s="52" t="n">
        <v>3460510</v>
      </c>
      <c r="AD119" s="52" t="n">
        <v>4033000</v>
      </c>
      <c r="AE119" s="52" t="n">
        <v>1146420</v>
      </c>
      <c r="AF119" s="52" t="n">
        <v>3119150</v>
      </c>
      <c r="AG119" s="52" t="n">
        <v>3669700</v>
      </c>
      <c r="AH119" s="52" t="n">
        <v>1565330</v>
      </c>
      <c r="AI119" s="52" t="n">
        <v>2286840</v>
      </c>
      <c r="AJ119" s="52" t="n">
        <v>3783800</v>
      </c>
      <c r="AK119" s="52" t="n">
        <v>3879570</v>
      </c>
      <c r="AL119" s="52" t="n">
        <v>1318460</v>
      </c>
      <c r="AM119" s="52" t="n">
        <v>2273220</v>
      </c>
      <c r="AN119" s="52" t="n">
        <v>2661320</v>
      </c>
      <c r="AO119" s="52" t="n">
        <v>4279770</v>
      </c>
      <c r="AP119" s="52" t="n">
        <v>2339130</v>
      </c>
      <c r="AQ119" s="52" t="n">
        <v>1936070</v>
      </c>
      <c r="AR119" s="52" t="n">
        <v>3331100</v>
      </c>
      <c r="AS119" s="52" t="n">
        <v>3226060</v>
      </c>
      <c r="AT119" s="52" t="n">
        <v>3874420</v>
      </c>
      <c r="AU119" s="52" t="n">
        <v>1340900</v>
      </c>
      <c r="AV119" s="52" t="n">
        <v>1347440</v>
      </c>
      <c r="AW119" s="52" t="n">
        <v>1022460</v>
      </c>
      <c r="AX119" s="52" t="n">
        <v>1686950</v>
      </c>
      <c r="AY119" s="52" t="n">
        <v>1591000</v>
      </c>
      <c r="AZ119" s="52" t="n">
        <v>1908920</v>
      </c>
      <c r="BA119" s="52" t="n">
        <v>2154230</v>
      </c>
      <c r="BB119" s="52" t="n">
        <v>2071130</v>
      </c>
      <c r="BC119" s="52" t="n">
        <v>1967330</v>
      </c>
      <c r="BD119" s="52" t="n">
        <v>2199310</v>
      </c>
      <c r="BE119" s="52" t="n">
        <v>2510410</v>
      </c>
      <c r="BF119" s="52" t="n">
        <v>1501800</v>
      </c>
      <c r="BG119" s="52" t="n">
        <v>2961350</v>
      </c>
      <c r="BH119" s="52" t="n">
        <v>2248220</v>
      </c>
      <c r="BI119" s="52" t="n">
        <v>3335450</v>
      </c>
      <c r="BJ119" s="52" t="n">
        <v>2042740</v>
      </c>
      <c r="BK119" s="52" t="n">
        <v>2919740</v>
      </c>
      <c r="BL119" s="52" t="n">
        <v>2133110</v>
      </c>
      <c r="BM119" s="52" t="n">
        <v>3958440</v>
      </c>
    </row>
    <row r="120" customFormat="false" ht="15" hidden="false" customHeight="false" outlineLevel="0" collapsed="false">
      <c r="A120" s="19" t="s">
        <v>181</v>
      </c>
      <c r="B120" s="22" t="s">
        <v>320</v>
      </c>
      <c r="C120" s="19" t="s">
        <v>321</v>
      </c>
      <c r="D120" s="52" t="n">
        <v>4</v>
      </c>
      <c r="E120" s="52" t="n">
        <v>0</v>
      </c>
      <c r="F120" s="52" t="n">
        <v>0</v>
      </c>
      <c r="G120" s="52" t="n">
        <v>0</v>
      </c>
      <c r="H120" s="52" t="n">
        <v>0</v>
      </c>
      <c r="I120" s="52" t="n">
        <v>0</v>
      </c>
      <c r="J120" s="52" t="n">
        <v>0</v>
      </c>
      <c r="K120" s="52" t="n">
        <v>0</v>
      </c>
      <c r="L120" s="52" t="n">
        <v>0</v>
      </c>
      <c r="M120" s="52" t="n">
        <v>0</v>
      </c>
      <c r="N120" s="52" t="n">
        <v>0</v>
      </c>
      <c r="O120" s="52" t="n">
        <v>0</v>
      </c>
      <c r="P120" s="52" t="n">
        <v>0</v>
      </c>
      <c r="Q120" s="52" t="n">
        <v>0</v>
      </c>
      <c r="R120" s="52" t="n">
        <v>0</v>
      </c>
      <c r="S120" s="52" t="n">
        <v>0</v>
      </c>
      <c r="T120" s="52" t="n">
        <v>0</v>
      </c>
      <c r="U120" s="52" t="n">
        <v>0</v>
      </c>
      <c r="V120" s="52" t="n">
        <v>0</v>
      </c>
      <c r="W120" s="52" t="n">
        <v>0</v>
      </c>
      <c r="X120" s="52" t="n">
        <v>1681803</v>
      </c>
      <c r="Y120" s="52" t="n">
        <v>3321901</v>
      </c>
      <c r="Z120" s="52" t="n">
        <v>2088346</v>
      </c>
      <c r="AA120" s="52" t="n">
        <v>2798071</v>
      </c>
      <c r="AB120" s="52" t="n">
        <v>1857871</v>
      </c>
      <c r="AC120" s="52" t="n">
        <v>2889194</v>
      </c>
      <c r="AD120" s="52" t="n">
        <v>3278753</v>
      </c>
      <c r="AE120" s="52" t="n">
        <v>1390464</v>
      </c>
      <c r="AF120" s="52" t="n">
        <v>2874922</v>
      </c>
      <c r="AG120" s="52" t="n">
        <v>1942447</v>
      </c>
      <c r="AH120" s="52" t="n">
        <v>1689961</v>
      </c>
      <c r="AI120" s="52" t="n">
        <v>1383138</v>
      </c>
      <c r="AJ120" s="52" t="n">
        <v>2184770</v>
      </c>
      <c r="AK120" s="52" t="n">
        <v>2698740</v>
      </c>
      <c r="AL120" s="52" t="n">
        <v>1950551</v>
      </c>
      <c r="AM120" s="52" t="n">
        <v>1980791</v>
      </c>
      <c r="AN120" s="52" t="n">
        <v>2088139</v>
      </c>
      <c r="AO120" s="52" t="n">
        <v>1937671</v>
      </c>
      <c r="AP120" s="52" t="n">
        <v>2103466</v>
      </c>
      <c r="AQ120" s="52" t="n">
        <v>2233445</v>
      </c>
      <c r="AR120" s="52" t="n">
        <v>2001634</v>
      </c>
      <c r="AS120" s="52" t="n">
        <v>1821322</v>
      </c>
      <c r="AT120" s="52" t="n">
        <v>1432325</v>
      </c>
      <c r="AU120" s="52" t="n">
        <v>1791371</v>
      </c>
      <c r="AV120" s="52" t="n">
        <v>1176528</v>
      </c>
      <c r="AW120" s="52" t="n">
        <v>2232916</v>
      </c>
      <c r="AX120" s="52" t="n">
        <v>2248154</v>
      </c>
      <c r="AY120" s="52" t="n">
        <v>2836127</v>
      </c>
      <c r="AZ120" s="52" t="n">
        <v>1904135</v>
      </c>
      <c r="BA120" s="52" t="n">
        <v>1657088</v>
      </c>
      <c r="BB120" s="52" t="n">
        <v>1823702</v>
      </c>
      <c r="BC120" s="52" t="n">
        <v>1783971</v>
      </c>
      <c r="BD120" s="52" t="n">
        <v>1938189</v>
      </c>
      <c r="BE120" s="52" t="n">
        <v>1512699</v>
      </c>
      <c r="BF120" s="52" t="n">
        <v>1611200</v>
      </c>
      <c r="BG120" s="52" t="n">
        <v>2402068</v>
      </c>
      <c r="BH120" s="52" t="n">
        <v>2333752</v>
      </c>
      <c r="BI120" s="52" t="n">
        <v>2278062</v>
      </c>
      <c r="BJ120" s="52" t="n">
        <v>2289188</v>
      </c>
      <c r="BK120" s="52" t="n">
        <v>2482048</v>
      </c>
      <c r="BL120" s="52" t="n">
        <v>1606961</v>
      </c>
      <c r="BM120" s="52" t="n">
        <v>1143447</v>
      </c>
    </row>
    <row r="121" customFormat="false" ht="15" hidden="false" customHeight="false" outlineLevel="0" collapsed="false">
      <c r="A121" s="19" t="s">
        <v>181</v>
      </c>
      <c r="B121" s="22" t="s">
        <v>410</v>
      </c>
      <c r="C121" s="22" t="s">
        <v>411</v>
      </c>
      <c r="D121" s="52" t="n">
        <v>0</v>
      </c>
      <c r="E121" s="52" t="n">
        <v>0</v>
      </c>
      <c r="F121" s="52" t="n">
        <v>0</v>
      </c>
      <c r="G121" s="52" t="n">
        <v>0</v>
      </c>
      <c r="H121" s="52" t="n">
        <v>0</v>
      </c>
      <c r="I121" s="52" t="n">
        <v>0</v>
      </c>
      <c r="J121" s="52" t="n">
        <v>0</v>
      </c>
      <c r="K121" s="52" t="n">
        <v>0</v>
      </c>
      <c r="L121" s="52" t="n">
        <v>0</v>
      </c>
      <c r="M121" s="52" t="n">
        <v>0</v>
      </c>
      <c r="N121" s="52" t="n">
        <v>0</v>
      </c>
      <c r="O121" s="52" t="n">
        <v>0</v>
      </c>
      <c r="P121" s="52" t="n">
        <v>0</v>
      </c>
      <c r="Q121" s="52" t="n">
        <v>0</v>
      </c>
      <c r="R121" s="52" t="n">
        <v>0</v>
      </c>
      <c r="S121" s="52" t="n">
        <v>0</v>
      </c>
      <c r="T121" s="52" t="n">
        <v>0</v>
      </c>
      <c r="U121" s="52" t="n">
        <v>0</v>
      </c>
      <c r="V121" s="52" t="n">
        <v>0</v>
      </c>
      <c r="W121" s="52" t="n">
        <v>0</v>
      </c>
      <c r="X121" s="52" t="n">
        <v>486584</v>
      </c>
      <c r="Y121" s="52" t="n">
        <v>149190</v>
      </c>
      <c r="Z121" s="52" t="n">
        <v>433230</v>
      </c>
      <c r="AA121" s="52" t="n">
        <v>4802170</v>
      </c>
      <c r="AB121" s="52" t="n">
        <v>2513150</v>
      </c>
      <c r="AC121" s="52" t="n">
        <v>2341670</v>
      </c>
      <c r="AD121" s="52" t="n">
        <v>0</v>
      </c>
      <c r="AE121" s="52" t="n">
        <v>304190</v>
      </c>
      <c r="AF121" s="52" t="n">
        <v>3831950</v>
      </c>
      <c r="AG121" s="52" t="n">
        <v>254040</v>
      </c>
      <c r="AH121" s="52" t="n">
        <v>4604050</v>
      </c>
      <c r="AI121" s="52" t="n">
        <v>3619171</v>
      </c>
      <c r="AJ121" s="52" t="n">
        <v>1038276</v>
      </c>
      <c r="AK121" s="52" t="n">
        <v>455392</v>
      </c>
      <c r="AL121" s="52" t="n">
        <v>305700</v>
      </c>
      <c r="AM121" s="52" t="n">
        <v>1250250</v>
      </c>
      <c r="AN121" s="52" t="n">
        <v>1095830</v>
      </c>
      <c r="AO121" s="52" t="n">
        <v>688460</v>
      </c>
      <c r="AP121" s="52" t="n">
        <v>0</v>
      </c>
      <c r="AQ121" s="52" t="n">
        <v>1994940</v>
      </c>
      <c r="AR121" s="52" t="n">
        <v>463260</v>
      </c>
      <c r="AS121" s="52" t="n">
        <v>926520</v>
      </c>
      <c r="AT121" s="52" t="n">
        <v>1544200</v>
      </c>
      <c r="AU121" s="52" t="n">
        <v>0</v>
      </c>
      <c r="AV121" s="52" t="n">
        <v>163800</v>
      </c>
      <c r="AW121" s="52" t="n">
        <v>154420</v>
      </c>
      <c r="AX121" s="52" t="n">
        <v>0</v>
      </c>
      <c r="AY121" s="52" t="n">
        <v>0</v>
      </c>
      <c r="AZ121" s="52" t="n">
        <v>0</v>
      </c>
      <c r="BA121" s="52" t="n">
        <v>0</v>
      </c>
      <c r="BB121" s="52" t="n">
        <v>0</v>
      </c>
      <c r="BC121" s="52" t="n">
        <v>0</v>
      </c>
      <c r="BD121" s="52" t="n">
        <v>0</v>
      </c>
      <c r="BE121" s="52" t="n">
        <v>0</v>
      </c>
      <c r="BF121" s="52" t="n">
        <v>0</v>
      </c>
      <c r="BG121" s="52" t="n">
        <v>0</v>
      </c>
      <c r="BH121" s="52" t="n">
        <v>0</v>
      </c>
      <c r="BI121" s="52" t="n">
        <v>96790</v>
      </c>
      <c r="BJ121" s="52" t="n">
        <v>0</v>
      </c>
      <c r="BK121" s="52" t="n">
        <v>0</v>
      </c>
      <c r="BL121" s="52" t="n">
        <v>0</v>
      </c>
      <c r="BM121" s="52" t="n">
        <v>0</v>
      </c>
    </row>
    <row r="122" customFormat="false" ht="15" hidden="false" customHeight="false" outlineLevel="0" collapsed="false">
      <c r="A122" s="19" t="s">
        <v>181</v>
      </c>
      <c r="B122" s="22" t="s">
        <v>412</v>
      </c>
      <c r="C122" s="22" t="s">
        <v>413</v>
      </c>
      <c r="D122" s="52" t="n">
        <v>0</v>
      </c>
      <c r="E122" s="52" t="n">
        <v>0</v>
      </c>
      <c r="F122" s="52" t="n">
        <v>0</v>
      </c>
      <c r="G122" s="52" t="n">
        <v>0</v>
      </c>
      <c r="H122" s="52" t="n">
        <v>0</v>
      </c>
      <c r="I122" s="52" t="n">
        <v>0</v>
      </c>
      <c r="J122" s="52" t="n">
        <v>0</v>
      </c>
      <c r="K122" s="52" t="n">
        <v>0</v>
      </c>
      <c r="L122" s="52" t="n">
        <v>0</v>
      </c>
      <c r="M122" s="52" t="n">
        <v>0</v>
      </c>
      <c r="N122" s="52" t="n">
        <v>0</v>
      </c>
      <c r="O122" s="52" t="n">
        <v>0</v>
      </c>
      <c r="P122" s="52" t="n">
        <v>0</v>
      </c>
      <c r="Q122" s="52" t="n">
        <v>0</v>
      </c>
      <c r="R122" s="52" t="n">
        <v>0</v>
      </c>
      <c r="S122" s="52" t="n">
        <v>0</v>
      </c>
      <c r="T122" s="52" t="n">
        <v>0</v>
      </c>
      <c r="U122" s="52" t="n">
        <v>0</v>
      </c>
      <c r="V122" s="52" t="n">
        <v>0</v>
      </c>
      <c r="W122" s="52" t="n">
        <v>0</v>
      </c>
      <c r="X122" s="52" t="n">
        <v>2020930</v>
      </c>
      <c r="Y122" s="52" t="n">
        <v>1478400</v>
      </c>
      <c r="Z122" s="52" t="n">
        <v>1536240</v>
      </c>
      <c r="AA122" s="52" t="n">
        <v>1442160</v>
      </c>
      <c r="AB122" s="52" t="n">
        <v>1643790</v>
      </c>
      <c r="AC122" s="52" t="n">
        <v>1651910</v>
      </c>
      <c r="AD122" s="52" t="n">
        <v>2070810</v>
      </c>
      <c r="AE122" s="52" t="n">
        <v>1079730</v>
      </c>
      <c r="AF122" s="52" t="n">
        <v>1204000</v>
      </c>
      <c r="AG122" s="52" t="n">
        <v>1379070</v>
      </c>
      <c r="AH122" s="52" t="n">
        <v>1169760</v>
      </c>
      <c r="AI122" s="52" t="n">
        <v>1382830</v>
      </c>
      <c r="AJ122" s="52" t="n">
        <v>1345030</v>
      </c>
      <c r="AK122" s="52" t="n">
        <v>1043000</v>
      </c>
      <c r="AL122" s="52" t="n">
        <v>981440</v>
      </c>
      <c r="AM122" s="52" t="n">
        <v>1009060</v>
      </c>
      <c r="AN122" s="52" t="n">
        <v>1749160</v>
      </c>
      <c r="AO122" s="52" t="n">
        <v>1124390</v>
      </c>
      <c r="AP122" s="52" t="n">
        <v>1258100</v>
      </c>
      <c r="AQ122" s="52" t="n">
        <v>835500</v>
      </c>
      <c r="AR122" s="52" t="n">
        <v>791680</v>
      </c>
      <c r="AS122" s="52" t="n">
        <v>735770</v>
      </c>
      <c r="AT122" s="52" t="n">
        <v>865894</v>
      </c>
      <c r="AU122" s="52" t="n">
        <v>1137310</v>
      </c>
      <c r="AV122" s="52" t="n">
        <v>616970</v>
      </c>
      <c r="AW122" s="52" t="n">
        <v>876560</v>
      </c>
      <c r="AX122" s="52" t="n">
        <v>757220</v>
      </c>
      <c r="AY122" s="52" t="n">
        <v>430290</v>
      </c>
      <c r="AZ122" s="52" t="n">
        <v>665880</v>
      </c>
      <c r="BA122" s="52" t="n">
        <v>275010</v>
      </c>
      <c r="BB122" s="52" t="n">
        <v>0</v>
      </c>
      <c r="BC122" s="52" t="n">
        <v>0</v>
      </c>
      <c r="BD122" s="52" t="n">
        <v>0</v>
      </c>
      <c r="BE122" s="52" t="n">
        <v>0</v>
      </c>
      <c r="BF122" s="52" t="n">
        <v>0</v>
      </c>
      <c r="BG122" s="52" t="n">
        <v>0</v>
      </c>
      <c r="BH122" s="52" t="n">
        <v>0</v>
      </c>
      <c r="BI122" s="52" t="n">
        <v>0</v>
      </c>
      <c r="BJ122" s="52" t="n">
        <v>0</v>
      </c>
      <c r="BK122" s="52" t="n">
        <v>0</v>
      </c>
      <c r="BL122" s="52" t="n">
        <v>0</v>
      </c>
      <c r="BM122" s="52" t="n">
        <v>0</v>
      </c>
    </row>
    <row r="123" customFormat="false" ht="15" hidden="false" customHeight="false" outlineLevel="0" collapsed="false">
      <c r="A123" s="19" t="s">
        <v>181</v>
      </c>
      <c r="B123" s="22" t="s">
        <v>314</v>
      </c>
      <c r="C123" s="19" t="s">
        <v>315</v>
      </c>
      <c r="D123" s="52" t="n">
        <v>0</v>
      </c>
      <c r="E123" s="52" t="n">
        <v>0</v>
      </c>
      <c r="F123" s="52" t="n">
        <v>0</v>
      </c>
      <c r="G123" s="52" t="n">
        <v>0</v>
      </c>
      <c r="H123" s="52" t="n">
        <v>0</v>
      </c>
      <c r="I123" s="52" t="n">
        <v>0</v>
      </c>
      <c r="J123" s="52" t="n">
        <v>0</v>
      </c>
      <c r="K123" s="52" t="n">
        <v>0</v>
      </c>
      <c r="L123" s="52" t="n">
        <v>0</v>
      </c>
      <c r="M123" s="52" t="n">
        <v>0</v>
      </c>
      <c r="N123" s="52" t="n">
        <v>0</v>
      </c>
      <c r="O123" s="52" t="n">
        <v>0</v>
      </c>
      <c r="P123" s="52" t="n">
        <v>0</v>
      </c>
      <c r="Q123" s="52" t="n">
        <v>0</v>
      </c>
      <c r="R123" s="52" t="n">
        <v>0</v>
      </c>
      <c r="S123" s="52" t="n">
        <v>0</v>
      </c>
      <c r="T123" s="52" t="n">
        <v>0</v>
      </c>
      <c r="U123" s="52" t="n">
        <v>0</v>
      </c>
      <c r="V123" s="52" t="n">
        <v>0</v>
      </c>
      <c r="W123" s="52" t="n">
        <v>0</v>
      </c>
      <c r="X123" s="52" t="n">
        <v>0</v>
      </c>
      <c r="Y123" s="52" t="n">
        <v>0</v>
      </c>
      <c r="Z123" s="52" t="n">
        <v>0</v>
      </c>
      <c r="AA123" s="52" t="n">
        <v>0</v>
      </c>
      <c r="AB123" s="52" t="n">
        <v>0</v>
      </c>
      <c r="AC123" s="52" t="n">
        <v>0</v>
      </c>
      <c r="AD123" s="52" t="n">
        <v>0</v>
      </c>
      <c r="AE123" s="52" t="n">
        <v>0</v>
      </c>
      <c r="AF123" s="52" t="n">
        <v>0</v>
      </c>
      <c r="AG123" s="52" t="n">
        <v>0</v>
      </c>
      <c r="AH123" s="52" t="n">
        <v>0</v>
      </c>
      <c r="AI123" s="52" t="n">
        <v>0</v>
      </c>
      <c r="AJ123" s="52" t="n">
        <v>0</v>
      </c>
      <c r="AK123" s="52" t="n">
        <v>0</v>
      </c>
      <c r="AL123" s="52" t="n">
        <v>0</v>
      </c>
      <c r="AM123" s="52" t="n">
        <v>0</v>
      </c>
      <c r="AN123" s="52" t="n">
        <v>0</v>
      </c>
      <c r="AO123" s="52" t="n">
        <v>9921000</v>
      </c>
      <c r="AP123" s="52" t="n">
        <v>0</v>
      </c>
      <c r="AQ123" s="52" t="n">
        <v>0</v>
      </c>
      <c r="AR123" s="52" t="n">
        <v>0</v>
      </c>
      <c r="AS123" s="52" t="n">
        <v>4815000</v>
      </c>
      <c r="AT123" s="52" t="n">
        <v>0</v>
      </c>
      <c r="AU123" s="52" t="n">
        <v>0</v>
      </c>
      <c r="AV123" s="52" t="n">
        <v>0</v>
      </c>
      <c r="AW123" s="52" t="n">
        <v>9827850</v>
      </c>
      <c r="AX123" s="52" t="n">
        <v>4815000</v>
      </c>
      <c r="AY123" s="52" t="n">
        <v>0</v>
      </c>
      <c r="AZ123" s="52" t="n">
        <v>0</v>
      </c>
      <c r="BA123" s="52" t="n">
        <v>0</v>
      </c>
      <c r="BB123" s="52" t="n">
        <v>1033500</v>
      </c>
      <c r="BC123" s="52" t="n">
        <v>0</v>
      </c>
      <c r="BD123" s="52" t="n">
        <v>0</v>
      </c>
      <c r="BE123" s="52" t="n">
        <v>0</v>
      </c>
      <c r="BF123" s="52" t="n">
        <v>0</v>
      </c>
      <c r="BG123" s="52" t="n">
        <v>9630000</v>
      </c>
      <c r="BH123" s="52" t="n">
        <v>0</v>
      </c>
      <c r="BI123" s="52" t="n">
        <v>0</v>
      </c>
      <c r="BJ123" s="52" t="n">
        <v>0</v>
      </c>
      <c r="BK123" s="52" t="n">
        <v>7222500</v>
      </c>
      <c r="BL123" s="52" t="n">
        <v>1926000</v>
      </c>
      <c r="BM123" s="52" t="n">
        <v>0</v>
      </c>
    </row>
    <row r="124" customFormat="false" ht="15" hidden="false" customHeight="false" outlineLevel="0" collapsed="false">
      <c r="A124" s="19" t="s">
        <v>181</v>
      </c>
      <c r="B124" s="22" t="s">
        <v>414</v>
      </c>
      <c r="C124" s="19" t="s">
        <v>415</v>
      </c>
      <c r="D124" s="52" t="n">
        <v>0</v>
      </c>
      <c r="E124" s="52" t="n">
        <v>0</v>
      </c>
      <c r="F124" s="52" t="n">
        <v>0</v>
      </c>
      <c r="G124" s="52" t="n">
        <v>0</v>
      </c>
      <c r="H124" s="52" t="n">
        <v>0</v>
      </c>
      <c r="I124" s="52" t="n">
        <v>0</v>
      </c>
      <c r="J124" s="52" t="n">
        <v>0</v>
      </c>
      <c r="K124" s="52" t="n">
        <v>0</v>
      </c>
      <c r="L124" s="52" t="n">
        <v>0</v>
      </c>
      <c r="M124" s="52" t="n">
        <v>0</v>
      </c>
      <c r="N124" s="52" t="n">
        <v>0</v>
      </c>
      <c r="O124" s="52" t="n">
        <v>0</v>
      </c>
      <c r="P124" s="52" t="n">
        <v>0</v>
      </c>
      <c r="Q124" s="52" t="n">
        <v>0</v>
      </c>
      <c r="R124" s="52" t="n">
        <v>0</v>
      </c>
      <c r="S124" s="52" t="n">
        <v>0</v>
      </c>
      <c r="T124" s="52" t="n">
        <v>0</v>
      </c>
      <c r="U124" s="52" t="n">
        <v>0</v>
      </c>
      <c r="V124" s="52" t="n">
        <v>0</v>
      </c>
      <c r="W124" s="52" t="n">
        <v>0</v>
      </c>
      <c r="X124" s="52" t="n">
        <v>0</v>
      </c>
      <c r="Y124" s="52" t="n">
        <v>0</v>
      </c>
      <c r="Z124" s="52" t="n">
        <v>0</v>
      </c>
      <c r="AA124" s="52" t="n">
        <v>0</v>
      </c>
      <c r="AB124" s="52" t="n">
        <v>0</v>
      </c>
      <c r="AC124" s="52" t="n">
        <v>0</v>
      </c>
      <c r="AD124" s="52" t="n">
        <v>0</v>
      </c>
      <c r="AE124" s="52" t="n">
        <v>0</v>
      </c>
      <c r="AF124" s="52" t="n">
        <v>0</v>
      </c>
      <c r="AG124" s="52" t="n">
        <v>197086</v>
      </c>
      <c r="AH124" s="52" t="n">
        <v>0</v>
      </c>
      <c r="AI124" s="52" t="n">
        <v>0</v>
      </c>
      <c r="AJ124" s="52" t="n">
        <v>0</v>
      </c>
      <c r="AK124" s="52" t="n">
        <v>0</v>
      </c>
      <c r="AL124" s="52" t="n">
        <v>0</v>
      </c>
      <c r="AM124" s="52" t="n">
        <v>0</v>
      </c>
      <c r="AN124" s="52" t="n">
        <v>0</v>
      </c>
      <c r="AO124" s="52" t="n">
        <v>0</v>
      </c>
      <c r="AP124" s="52" t="n">
        <v>0</v>
      </c>
      <c r="AQ124" s="52" t="n">
        <v>0</v>
      </c>
      <c r="AR124" s="52" t="n">
        <v>0</v>
      </c>
      <c r="AS124" s="52" t="n">
        <v>0</v>
      </c>
      <c r="AT124" s="52" t="n">
        <v>0</v>
      </c>
      <c r="AU124" s="52" t="n">
        <v>0</v>
      </c>
      <c r="AV124" s="52" t="n">
        <v>0</v>
      </c>
      <c r="AW124" s="52" t="n">
        <v>0</v>
      </c>
      <c r="AX124" s="52" t="n">
        <v>0</v>
      </c>
      <c r="AY124" s="52" t="n">
        <v>0</v>
      </c>
      <c r="AZ124" s="52" t="n">
        <v>0</v>
      </c>
      <c r="BA124" s="52" t="n">
        <v>0</v>
      </c>
      <c r="BB124" s="52" t="n">
        <v>0</v>
      </c>
      <c r="BC124" s="52" t="n">
        <v>0</v>
      </c>
      <c r="BD124" s="52" t="n">
        <v>0</v>
      </c>
      <c r="BE124" s="52" t="n">
        <v>0</v>
      </c>
      <c r="BF124" s="52" t="n">
        <v>0</v>
      </c>
      <c r="BG124" s="52" t="n">
        <v>0</v>
      </c>
      <c r="BH124" s="52" t="n">
        <v>0</v>
      </c>
      <c r="BI124" s="52" t="n">
        <v>0</v>
      </c>
      <c r="BJ124" s="52" t="n">
        <v>0</v>
      </c>
      <c r="BK124" s="52" t="n">
        <v>0</v>
      </c>
      <c r="BL124" s="52" t="n">
        <v>0</v>
      </c>
      <c r="BM124" s="52" t="n">
        <v>0</v>
      </c>
    </row>
    <row r="125" customFormat="false" ht="15" hidden="false" customHeight="false" outlineLevel="0" collapsed="false">
      <c r="A125" s="19" t="s">
        <v>181</v>
      </c>
      <c r="B125" s="22" t="s">
        <v>358</v>
      </c>
      <c r="C125" s="19" t="s">
        <v>150</v>
      </c>
      <c r="D125" s="52" t="n">
        <v>1</v>
      </c>
      <c r="E125" s="52" t="n">
        <v>253154</v>
      </c>
      <c r="F125" s="52" t="n">
        <v>-595530</v>
      </c>
      <c r="G125" s="52" t="n">
        <v>98100</v>
      </c>
      <c r="H125" s="52" t="n">
        <v>54430</v>
      </c>
      <c r="I125" s="52" t="n">
        <v>141017</v>
      </c>
      <c r="J125" s="52" t="n">
        <v>48646</v>
      </c>
      <c r="K125" s="52" t="n">
        <v>-342193</v>
      </c>
      <c r="L125" s="52" t="n">
        <v>0</v>
      </c>
      <c r="M125" s="52" t="n">
        <v>360691</v>
      </c>
      <c r="N125" s="52" t="n">
        <v>44165</v>
      </c>
      <c r="O125" s="52" t="n">
        <v>14020</v>
      </c>
      <c r="P125" s="52" t="n">
        <v>724575</v>
      </c>
      <c r="Q125" s="52" t="n">
        <v>94035</v>
      </c>
      <c r="R125" s="52" t="n">
        <v>287503</v>
      </c>
      <c r="S125" s="52" t="n">
        <v>51090</v>
      </c>
      <c r="T125" s="52" t="n">
        <v>377925</v>
      </c>
      <c r="U125" s="52" t="n">
        <v>168647</v>
      </c>
      <c r="V125" s="52" t="n">
        <v>0</v>
      </c>
      <c r="W125" s="52" t="n">
        <v>120210</v>
      </c>
      <c r="X125" s="52" t="n">
        <v>-334038</v>
      </c>
      <c r="Y125" s="52" t="n">
        <v>88200</v>
      </c>
      <c r="Z125" s="52" t="n">
        <v>254200</v>
      </c>
      <c r="AA125" s="52" t="n">
        <v>163319</v>
      </c>
      <c r="AB125" s="52" t="n">
        <v>152125</v>
      </c>
      <c r="AC125" s="52" t="n">
        <v>63050</v>
      </c>
      <c r="AD125" s="52" t="n">
        <v>235938</v>
      </c>
      <c r="AE125" s="52" t="n">
        <v>0</v>
      </c>
      <c r="AF125" s="52" t="n">
        <v>493756</v>
      </c>
      <c r="AG125" s="52" t="n">
        <v>92830</v>
      </c>
      <c r="AH125" s="52" t="n">
        <v>209175</v>
      </c>
      <c r="AI125" s="52" t="n">
        <v>139757</v>
      </c>
      <c r="AJ125" s="52" t="n">
        <v>135530</v>
      </c>
      <c r="AK125" s="52" t="n">
        <v>-497153</v>
      </c>
      <c r="AL125" s="52" t="n">
        <v>493678</v>
      </c>
      <c r="AM125" s="52" t="n">
        <v>57170</v>
      </c>
      <c r="AN125" s="52" t="n">
        <v>128481</v>
      </c>
      <c r="AO125" s="52" t="n">
        <v>38680</v>
      </c>
      <c r="AP125" s="52" t="n">
        <v>186961</v>
      </c>
      <c r="AQ125" s="52" t="n">
        <v>6800</v>
      </c>
      <c r="AR125" s="52" t="n">
        <v>135571</v>
      </c>
      <c r="AS125" s="52" t="n">
        <v>-329332</v>
      </c>
      <c r="AT125" s="52" t="n">
        <v>96600</v>
      </c>
      <c r="AU125" s="52" t="n">
        <v>206477</v>
      </c>
      <c r="AV125" s="52" t="n">
        <v>374421</v>
      </c>
      <c r="AW125" s="52" t="n">
        <v>229705</v>
      </c>
      <c r="AX125" s="52" t="n">
        <v>-820263</v>
      </c>
      <c r="AY125" s="52" t="n">
        <v>251516</v>
      </c>
      <c r="AZ125" s="52" t="n">
        <v>175499</v>
      </c>
      <c r="BA125" s="52" t="n">
        <v>628993</v>
      </c>
      <c r="BB125" s="52" t="n">
        <v>118035</v>
      </c>
      <c r="BC125" s="52" t="n">
        <v>196380</v>
      </c>
      <c r="BD125" s="52" t="n">
        <v>203172</v>
      </c>
      <c r="BE125" s="52" t="n">
        <v>249830</v>
      </c>
      <c r="BF125" s="52" t="n">
        <v>189710</v>
      </c>
      <c r="BG125" s="52" t="n">
        <v>-839092</v>
      </c>
      <c r="BH125" s="52" t="n">
        <v>86675</v>
      </c>
      <c r="BI125" s="52" t="n">
        <v>21990</v>
      </c>
      <c r="BJ125" s="52" t="n">
        <v>52869</v>
      </c>
      <c r="BK125" s="52" t="n">
        <v>-83344</v>
      </c>
      <c r="BL125" s="52" t="n">
        <v>46800</v>
      </c>
      <c r="BM125" s="52" t="n">
        <v>144780</v>
      </c>
    </row>
  </sheetData>
  <mergeCells count="4">
    <mergeCell ref="A3:A4"/>
    <mergeCell ref="B3:B4"/>
    <mergeCell ref="C3:C4"/>
    <mergeCell ref="D3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12" min="4" style="0" width="14"/>
    <col collapsed="false" customWidth="true" hidden="false" outlineLevel="0" max="13" min="13" style="0" width="16"/>
    <col collapsed="false" customWidth="true" hidden="false" outlineLevel="0" max="21" min="14" style="0" width="9"/>
  </cols>
  <sheetData>
    <row r="1" customFormat="false" ht="16.4" hidden="false" customHeight="false" outlineLevel="0" collapsed="false">
      <c r="A1" s="51" t="s">
        <v>548</v>
      </c>
    </row>
    <row r="3" customFormat="false" ht="15" hidden="false" customHeight="true" outlineLevel="0" collapsed="false">
      <c r="A3" s="9" t="s">
        <v>14</v>
      </c>
      <c r="B3" s="9" t="s">
        <v>162</v>
      </c>
      <c r="C3" s="9" t="s">
        <v>53</v>
      </c>
      <c r="D3" s="9" t="s">
        <v>549</v>
      </c>
      <c r="E3" s="9"/>
      <c r="F3" s="9"/>
      <c r="G3" s="9"/>
      <c r="H3" s="9"/>
      <c r="I3" s="9"/>
      <c r="J3" s="9"/>
      <c r="K3" s="9"/>
      <c r="L3" s="9"/>
      <c r="M3" s="9"/>
      <c r="N3" s="9" t="s">
        <v>550</v>
      </c>
      <c r="O3" s="9"/>
      <c r="P3" s="9"/>
      <c r="Q3" s="9"/>
      <c r="R3" s="9"/>
      <c r="S3" s="9"/>
      <c r="T3" s="9"/>
      <c r="U3" s="9"/>
    </row>
    <row r="4" customFormat="false" ht="15" hidden="false" customHeight="false" outlineLevel="0" collapsed="false">
      <c r="A4" s="9"/>
      <c r="B4" s="9"/>
      <c r="C4" s="9"/>
      <c r="D4" s="10" t="s">
        <v>15</v>
      </c>
      <c r="E4" s="10" t="s">
        <v>16</v>
      </c>
      <c r="F4" s="10" t="s">
        <v>17</v>
      </c>
      <c r="G4" s="10" t="s">
        <v>18</v>
      </c>
      <c r="H4" s="10" t="s">
        <v>19</v>
      </c>
      <c r="I4" s="10" t="s">
        <v>20</v>
      </c>
      <c r="J4" s="10" t="s">
        <v>21</v>
      </c>
      <c r="K4" s="10" t="s">
        <v>22</v>
      </c>
      <c r="L4" s="10" t="s">
        <v>23</v>
      </c>
      <c r="M4" s="10" t="s">
        <v>551</v>
      </c>
      <c r="N4" s="10" t="s">
        <v>16</v>
      </c>
      <c r="O4" s="10" t="s">
        <v>17</v>
      </c>
      <c r="P4" s="10" t="s">
        <v>18</v>
      </c>
      <c r="Q4" s="10" t="s">
        <v>19</v>
      </c>
      <c r="R4" s="10" t="s">
        <v>20</v>
      </c>
      <c r="S4" s="10" t="s">
        <v>21</v>
      </c>
      <c r="T4" s="10" t="s">
        <v>22</v>
      </c>
      <c r="U4" s="10" t="s">
        <v>23</v>
      </c>
    </row>
    <row r="5" customFormat="false" ht="15" hidden="false" customHeight="false" outlineLevel="0" collapsed="false">
      <c r="A5" s="41" t="s">
        <v>547</v>
      </c>
      <c r="B5" s="40"/>
      <c r="C5" s="40"/>
      <c r="D5" s="42" t="n">
        <f aca="false">SUM(D6:D125)</f>
        <v>21750286263</v>
      </c>
      <c r="E5" s="42" t="n">
        <f aca="false">SUM(E6:E125)</f>
        <v>19295447144</v>
      </c>
      <c r="F5" s="42" t="n">
        <f aca="false">SUM(F6:F125)</f>
        <v>20923415382</v>
      </c>
      <c r="G5" s="42" t="n">
        <f aca="false">SUM(G6:G125)</f>
        <v>21599349179</v>
      </c>
      <c r="H5" s="42" t="n">
        <f aca="false">SUM(H6:H125)</f>
        <v>23431970830</v>
      </c>
      <c r="I5" s="42" t="n">
        <f aca="false">SUM(I6:I125)</f>
        <v>22333222631</v>
      </c>
      <c r="J5" s="42" t="n">
        <f aca="false">SUM(J6:J125)</f>
        <v>23465564667</v>
      </c>
      <c r="K5" s="42" t="n">
        <f aca="false">SUM(K6:K125)</f>
        <v>22767166005</v>
      </c>
      <c r="L5" s="42" t="n">
        <f aca="false">SUM(L6:L125)</f>
        <v>21340213998</v>
      </c>
      <c r="M5" s="42" t="n">
        <f aca="false">SUM(D5:L5)</f>
        <v>196906636099</v>
      </c>
      <c r="N5" s="44" t="n">
        <f aca="false">IF(D5=0,"",E5/D5-1)</f>
        <v>-0.112864680920361</v>
      </c>
      <c r="O5" s="44" t="n">
        <f aca="false">IF(E5=0,"",F5/E5-1)</f>
        <v>0.0843705888674482</v>
      </c>
      <c r="P5" s="44" t="n">
        <f aca="false">IF(F5=0,"",G5/F5-1)</f>
        <v>0.0323051368363834</v>
      </c>
      <c r="Q5" s="44" t="n">
        <f aca="false">IF(G5=0,"",H5/G5-1)</f>
        <v>0.0848461514193108</v>
      </c>
      <c r="R5" s="44" t="n">
        <f aca="false">IF(H5=0,"",I5/H5-1)</f>
        <v>-0.046890985268438</v>
      </c>
      <c r="S5" s="44" t="n">
        <f aca="false">IF(I5=0,"",J5/I5-1)</f>
        <v>0.0507021335303501</v>
      </c>
      <c r="T5" s="44" t="n">
        <f aca="false">IF(J5=0,"",K5/J5-1)</f>
        <v>-0.0297627042822528</v>
      </c>
      <c r="U5" s="44" t="n">
        <f aca="false">IF(K5=0,"",L5/K5-1)</f>
        <v>-0.0626758730834843</v>
      </c>
    </row>
    <row r="6" customFormat="false" ht="15" hidden="false" customHeight="false" outlineLevel="0" collapsed="false">
      <c r="A6" s="19" t="s">
        <v>183</v>
      </c>
      <c r="B6" s="22" t="s">
        <v>300</v>
      </c>
      <c r="C6" s="19" t="s">
        <v>301</v>
      </c>
      <c r="D6" s="52" t="n">
        <v>28701402</v>
      </c>
      <c r="E6" s="52" t="n">
        <v>27821580</v>
      </c>
      <c r="F6" s="52" t="n">
        <v>28353960</v>
      </c>
      <c r="G6" s="52" t="n">
        <v>28346830</v>
      </c>
      <c r="H6" s="52" t="n">
        <v>26403290</v>
      </c>
      <c r="I6" s="52" t="n">
        <v>25544410</v>
      </c>
      <c r="J6" s="52" t="n">
        <v>22296220</v>
      </c>
      <c r="K6" s="52" t="n">
        <v>18766180</v>
      </c>
      <c r="L6" s="52" t="n">
        <v>18149340</v>
      </c>
      <c r="M6" s="46" t="n">
        <f aca="false">SUM(D6:L6)</f>
        <v>224383212</v>
      </c>
      <c r="N6" s="20" t="n">
        <f aca="false">IF(D6=0,"",E6/D6-1)</f>
        <v>-0.0306543213463928</v>
      </c>
      <c r="O6" s="20" t="n">
        <f aca="false">IF(E6=0,"",F6/E6-1)</f>
        <v>0.0191355056039233</v>
      </c>
      <c r="P6" s="20" t="n">
        <f aca="false">IF(F6=0,"",G6/F6-1)</f>
        <v>-0.000251463993036549</v>
      </c>
      <c r="Q6" s="20" t="n">
        <f aca="false">IF(G6=0,"",H6/G6-1)</f>
        <v>-0.0685628692873243</v>
      </c>
      <c r="R6" s="20" t="n">
        <f aca="false">IF(H6=0,"",I6/H6-1)</f>
        <v>-0.0325292794950932</v>
      </c>
      <c r="S6" s="20" t="n">
        <f aca="false">IF(I6=0,"",J6/I6-1)</f>
        <v>-0.127158544667894</v>
      </c>
      <c r="T6" s="20" t="n">
        <f aca="false">IF(J6=0,"",K6/J6-1)</f>
        <v>-0.158324594931338</v>
      </c>
      <c r="U6" s="20" t="n">
        <f aca="false">IF(K6=0,"",L6/K6-1)</f>
        <v>-0.0328697689140784</v>
      </c>
    </row>
    <row r="7" customFormat="false" ht="15" hidden="false" customHeight="false" outlineLevel="0" collapsed="false">
      <c r="A7" s="19" t="s">
        <v>183</v>
      </c>
      <c r="B7" s="22" t="s">
        <v>288</v>
      </c>
      <c r="C7" s="19" t="s">
        <v>289</v>
      </c>
      <c r="D7" s="52" t="n">
        <v>0</v>
      </c>
      <c r="E7" s="52" t="n">
        <v>30965320</v>
      </c>
      <c r="F7" s="52" t="n">
        <v>29274310</v>
      </c>
      <c r="G7" s="52" t="n">
        <v>32053920</v>
      </c>
      <c r="H7" s="52" t="n">
        <v>34688730</v>
      </c>
      <c r="I7" s="52" t="n">
        <v>32356980</v>
      </c>
      <c r="J7" s="52" t="n">
        <v>32916450</v>
      </c>
      <c r="K7" s="52" t="n">
        <v>25711290</v>
      </c>
      <c r="L7" s="52" t="n">
        <v>23634020</v>
      </c>
      <c r="M7" s="46" t="n">
        <f aca="false">SUM(D7:L7)</f>
        <v>241601020</v>
      </c>
      <c r="N7" s="20" t="str">
        <f aca="false">IF(D7=0,"",E7/D7-1)</f>
        <v/>
      </c>
      <c r="O7" s="20" t="n">
        <f aca="false">IF(E7=0,"",F7/E7-1)</f>
        <v>-0.054609802191613</v>
      </c>
      <c r="P7" s="20" t="n">
        <f aca="false">IF(F7=0,"",G7/F7-1)</f>
        <v>0.0949504873043976</v>
      </c>
      <c r="Q7" s="20" t="n">
        <f aca="false">IF(G7=0,"",H7/G7-1)</f>
        <v>0.082199306668264</v>
      </c>
      <c r="R7" s="20" t="n">
        <f aca="false">IF(H7=0,"",I7/H7-1)</f>
        <v>-0.0672192380637746</v>
      </c>
      <c r="S7" s="20" t="n">
        <f aca="false">IF(I7=0,"",J7/I7-1)</f>
        <v>0.0172905506014467</v>
      </c>
      <c r="T7" s="20" t="n">
        <f aca="false">IF(J7=0,"",K7/J7-1)</f>
        <v>-0.218892377519447</v>
      </c>
      <c r="U7" s="20" t="n">
        <f aca="false">IF(K7=0,"",L7/K7-1)</f>
        <v>-0.0807921345058922</v>
      </c>
    </row>
    <row r="8" customFormat="false" ht="15" hidden="false" customHeight="false" outlineLevel="0" collapsed="false">
      <c r="A8" s="19" t="s">
        <v>183</v>
      </c>
      <c r="B8" s="22" t="s">
        <v>318</v>
      </c>
      <c r="C8" s="19" t="s">
        <v>319</v>
      </c>
      <c r="D8" s="52" t="n">
        <v>1160912</v>
      </c>
      <c r="E8" s="52" t="n">
        <v>13037856</v>
      </c>
      <c r="F8" s="52" t="n">
        <v>10651352</v>
      </c>
      <c r="G8" s="52" t="n">
        <v>18772924</v>
      </c>
      <c r="H8" s="52" t="n">
        <v>12651485</v>
      </c>
      <c r="I8" s="52" t="n">
        <v>10098495</v>
      </c>
      <c r="J8" s="52" t="n">
        <v>9991242</v>
      </c>
      <c r="K8" s="52" t="n">
        <v>9920770</v>
      </c>
      <c r="L8" s="52" t="n">
        <v>11103634</v>
      </c>
      <c r="M8" s="46" t="n">
        <f aca="false">SUM(D8:L8)</f>
        <v>97388670</v>
      </c>
      <c r="N8" s="20" t="n">
        <f aca="false">IF(D8=0,"",E8/D8-1)</f>
        <v>10.230701379605</v>
      </c>
      <c r="O8" s="20" t="n">
        <f aca="false">IF(E8=0,"",F8/E8-1)</f>
        <v>-0.183044206041239</v>
      </c>
      <c r="P8" s="20" t="n">
        <f aca="false">IF(F8=0,"",G8/F8-1)</f>
        <v>0.762492123065692</v>
      </c>
      <c r="Q8" s="20" t="n">
        <f aca="false">IF(G8=0,"",H8/G8-1)</f>
        <v>-0.326078079259257</v>
      </c>
      <c r="R8" s="20" t="n">
        <f aca="false">IF(H8=0,"",I8/H8-1)</f>
        <v>-0.201793702478405</v>
      </c>
      <c r="S8" s="20" t="n">
        <f aca="false">IF(I8=0,"",J8/I8-1)</f>
        <v>-0.0106206914990798</v>
      </c>
      <c r="T8" s="20" t="n">
        <f aca="false">IF(J8=0,"",K8/J8-1)</f>
        <v>-0.00705337734788125</v>
      </c>
      <c r="U8" s="20" t="n">
        <f aca="false">IF(K8=0,"",L8/K8-1)</f>
        <v>0.119231067749781</v>
      </c>
    </row>
    <row r="9" customFormat="false" ht="15" hidden="false" customHeight="false" outlineLevel="0" collapsed="false">
      <c r="A9" s="19" t="s">
        <v>183</v>
      </c>
      <c r="B9" s="22" t="s">
        <v>334</v>
      </c>
      <c r="C9" s="19" t="s">
        <v>335</v>
      </c>
      <c r="D9" s="52" t="n">
        <v>0</v>
      </c>
      <c r="E9" s="52" t="n">
        <v>50484565</v>
      </c>
      <c r="F9" s="52" t="n">
        <v>45787461</v>
      </c>
      <c r="G9" s="52" t="n">
        <v>37088632</v>
      </c>
      <c r="H9" s="52" t="n">
        <v>34619293</v>
      </c>
      <c r="I9" s="52" t="n">
        <v>21192595</v>
      </c>
      <c r="J9" s="52" t="n">
        <v>20718435</v>
      </c>
      <c r="K9" s="52" t="n">
        <v>12401570</v>
      </c>
      <c r="L9" s="52" t="n">
        <v>4770075</v>
      </c>
      <c r="M9" s="46" t="n">
        <f aca="false">SUM(D9:L9)</f>
        <v>227062626</v>
      </c>
      <c r="N9" s="20" t="str">
        <f aca="false">IF(D9=0,"",E9/D9-1)</f>
        <v/>
      </c>
      <c r="O9" s="20" t="n">
        <f aca="false">IF(E9=0,"",F9/E9-1)</f>
        <v>-0.0930403975947897</v>
      </c>
      <c r="P9" s="20" t="n">
        <f aca="false">IF(F9=0,"",G9/F9-1)</f>
        <v>-0.189982777162507</v>
      </c>
      <c r="Q9" s="20" t="n">
        <f aca="false">IF(G9=0,"",H9/G9-1)</f>
        <v>-0.0665794036296621</v>
      </c>
      <c r="R9" s="20" t="n">
        <f aca="false">IF(H9=0,"",I9/H9-1)</f>
        <v>-0.387838596241697</v>
      </c>
      <c r="S9" s="20" t="n">
        <f aca="false">IF(I9=0,"",J9/I9-1)</f>
        <v>-0.0223738527537567</v>
      </c>
      <c r="T9" s="20" t="n">
        <f aca="false">IF(J9=0,"",K9/J9-1)</f>
        <v>-0.401423418322861</v>
      </c>
      <c r="U9" s="20" t="n">
        <f aca="false">IF(K9=0,"",L9/K9-1)</f>
        <v>-0.615365231982725</v>
      </c>
    </row>
    <row r="10" customFormat="false" ht="15" hidden="false" customHeight="false" outlineLevel="0" collapsed="false">
      <c r="A10" s="19" t="s">
        <v>183</v>
      </c>
      <c r="B10" s="22" t="s">
        <v>359</v>
      </c>
      <c r="C10" s="19" t="s">
        <v>360</v>
      </c>
      <c r="D10" s="52" t="n">
        <v>0</v>
      </c>
      <c r="E10" s="52" t="n">
        <v>500040</v>
      </c>
      <c r="F10" s="52" t="n">
        <v>2040140</v>
      </c>
      <c r="G10" s="52" t="n">
        <v>2232910</v>
      </c>
      <c r="H10" s="52" t="n">
        <v>318950</v>
      </c>
      <c r="I10" s="52" t="n">
        <v>0</v>
      </c>
      <c r="J10" s="52" t="n">
        <v>0</v>
      </c>
      <c r="K10" s="52" t="n">
        <v>0</v>
      </c>
      <c r="L10" s="52" t="n">
        <v>0</v>
      </c>
      <c r="M10" s="46" t="n">
        <f aca="false">SUM(D10:L10)</f>
        <v>5092040</v>
      </c>
      <c r="N10" s="20" t="str">
        <f aca="false">IF(D10=0,"",E10/D10-1)</f>
        <v/>
      </c>
      <c r="O10" s="20" t="n">
        <f aca="false">IF(E10=0,"",F10/E10-1)</f>
        <v>3.0799536037117</v>
      </c>
      <c r="P10" s="20" t="n">
        <f aca="false">IF(F10=0,"",G10/F10-1)</f>
        <v>0.0944886135265226</v>
      </c>
      <c r="Q10" s="20" t="n">
        <f aca="false">IF(G10=0,"",H10/G10-1)</f>
        <v>-0.857159491425987</v>
      </c>
      <c r="R10" s="20" t="n">
        <f aca="false">IF(H10=0,"",I10/H10-1)</f>
        <v>-1</v>
      </c>
      <c r="S10" s="20" t="str">
        <f aca="false">IF(I10=0,"",J10/I10-1)</f>
        <v/>
      </c>
      <c r="T10" s="20" t="str">
        <f aca="false">IF(J10=0,"",K10/J10-1)</f>
        <v/>
      </c>
      <c r="U10" s="20" t="str">
        <f aca="false">IF(K10=0,"",L10/K10-1)</f>
        <v/>
      </c>
    </row>
    <row r="11" customFormat="false" ht="15" hidden="false" customHeight="false" outlineLevel="0" collapsed="false">
      <c r="A11" s="19" t="s">
        <v>183</v>
      </c>
      <c r="B11" s="22" t="s">
        <v>184</v>
      </c>
      <c r="C11" s="19" t="s">
        <v>62</v>
      </c>
      <c r="D11" s="52" t="n">
        <v>0</v>
      </c>
      <c r="E11" s="52" t="n">
        <v>0</v>
      </c>
      <c r="F11" s="52" t="n">
        <v>1573034761</v>
      </c>
      <c r="G11" s="52" t="n">
        <v>1594153496</v>
      </c>
      <c r="H11" s="52" t="n">
        <v>1740440845</v>
      </c>
      <c r="I11" s="52" t="n">
        <v>1614729369</v>
      </c>
      <c r="J11" s="52" t="n">
        <v>1779117776</v>
      </c>
      <c r="K11" s="52" t="n">
        <v>1803955703</v>
      </c>
      <c r="L11" s="52" t="n">
        <v>1836670965</v>
      </c>
      <c r="M11" s="46" t="n">
        <f aca="false">SUM(D11:L11)</f>
        <v>11942102915</v>
      </c>
      <c r="N11" s="20" t="str">
        <f aca="false">IF(D11=0,"",E11/D11-1)</f>
        <v/>
      </c>
      <c r="O11" s="20" t="str">
        <f aca="false">IF(E11=0,"",F11/E11-1)</f>
        <v/>
      </c>
      <c r="P11" s="20" t="n">
        <f aca="false">IF(F11=0,"",G11/F11-1)</f>
        <v>0.0134254725474563</v>
      </c>
      <c r="Q11" s="20" t="n">
        <f aca="false">IF(G11=0,"",H11/G11-1)</f>
        <v>0.0917649080637841</v>
      </c>
      <c r="R11" s="20" t="n">
        <f aca="false">IF(H11=0,"",I11/H11-1)</f>
        <v>-0.0722296746603875</v>
      </c>
      <c r="S11" s="20" t="n">
        <f aca="false">IF(I11=0,"",J11/I11-1)</f>
        <v>0.101805547205601</v>
      </c>
      <c r="T11" s="20" t="n">
        <f aca="false">IF(J11=0,"",K11/J11-1)</f>
        <v>0.013960810990177</v>
      </c>
      <c r="U11" s="20" t="n">
        <f aca="false">IF(K11=0,"",L11/K11-1)</f>
        <v>0.0181352912078685</v>
      </c>
    </row>
    <row r="12" customFormat="false" ht="15" hidden="false" customHeight="false" outlineLevel="0" collapsed="false">
      <c r="A12" s="19" t="s">
        <v>183</v>
      </c>
      <c r="B12" s="22" t="s">
        <v>324</v>
      </c>
      <c r="C12" s="19" t="s">
        <v>325</v>
      </c>
      <c r="D12" s="52" t="n">
        <v>0</v>
      </c>
      <c r="E12" s="52" t="n">
        <v>0</v>
      </c>
      <c r="F12" s="52" t="n">
        <v>14080648</v>
      </c>
      <c r="G12" s="52" t="n">
        <v>12723674</v>
      </c>
      <c r="H12" s="52" t="n">
        <v>17529520</v>
      </c>
      <c r="I12" s="52" t="n">
        <v>10052667</v>
      </c>
      <c r="J12" s="52" t="n">
        <v>11057677</v>
      </c>
      <c r="K12" s="52" t="n">
        <v>8797793</v>
      </c>
      <c r="L12" s="52" t="n">
        <v>6625365</v>
      </c>
      <c r="M12" s="46" t="n">
        <f aca="false">SUM(D12:L12)</f>
        <v>80867344</v>
      </c>
      <c r="N12" s="20" t="str">
        <f aca="false">IF(D12=0,"",E12/D12-1)</f>
        <v/>
      </c>
      <c r="O12" s="20" t="str">
        <f aca="false">IF(E12=0,"",F12/E12-1)</f>
        <v/>
      </c>
      <c r="P12" s="20" t="n">
        <f aca="false">IF(F12=0,"",G12/F12-1)</f>
        <v>-0.0963715590362034</v>
      </c>
      <c r="Q12" s="20" t="n">
        <f aca="false">IF(G12=0,"",H12/G12-1)</f>
        <v>0.377708985627893</v>
      </c>
      <c r="R12" s="20" t="n">
        <f aca="false">IF(H12=0,"",I12/H12-1)</f>
        <v>-0.426529248946919</v>
      </c>
      <c r="S12" s="20" t="n">
        <f aca="false">IF(I12=0,"",J12/I12-1)</f>
        <v>0.0999744644878817</v>
      </c>
      <c r="T12" s="20" t="n">
        <f aca="false">IF(J12=0,"",K12/J12-1)</f>
        <v>-0.204372401183359</v>
      </c>
      <c r="U12" s="20" t="n">
        <f aca="false">IF(K12=0,"",L12/K12-1)</f>
        <v>-0.246928746789109</v>
      </c>
    </row>
    <row r="13" customFormat="false" ht="15" hidden="false" customHeight="false" outlineLevel="0" collapsed="false">
      <c r="A13" s="19" t="s">
        <v>183</v>
      </c>
      <c r="B13" s="22" t="s">
        <v>276</v>
      </c>
      <c r="C13" s="19" t="s">
        <v>277</v>
      </c>
      <c r="D13" s="52" t="n">
        <v>0</v>
      </c>
      <c r="E13" s="52" t="n">
        <v>0</v>
      </c>
      <c r="F13" s="52" t="n">
        <v>5715030</v>
      </c>
      <c r="G13" s="52" t="n">
        <v>23658654</v>
      </c>
      <c r="H13" s="52" t="n">
        <v>30928479</v>
      </c>
      <c r="I13" s="52" t="n">
        <v>35604640</v>
      </c>
      <c r="J13" s="52" t="n">
        <v>36565689</v>
      </c>
      <c r="K13" s="52" t="n">
        <v>40736150</v>
      </c>
      <c r="L13" s="52" t="n">
        <v>31556800</v>
      </c>
      <c r="M13" s="46" t="n">
        <f aca="false">SUM(D13:L13)</f>
        <v>204765442</v>
      </c>
      <c r="N13" s="20" t="str">
        <f aca="false">IF(D13=0,"",E13/D13-1)</f>
        <v/>
      </c>
      <c r="O13" s="20" t="str">
        <f aca="false">IF(E13=0,"",F13/E13-1)</f>
        <v/>
      </c>
      <c r="P13" s="20" t="n">
        <f aca="false">IF(F13=0,"",G13/F13-1)</f>
        <v>3.13972525078609</v>
      </c>
      <c r="Q13" s="20" t="n">
        <f aca="false">IF(G13=0,"",H13/G13-1)</f>
        <v>0.307279737892105</v>
      </c>
      <c r="R13" s="20" t="n">
        <f aca="false">IF(H13=0,"",I13/H13-1)</f>
        <v>0.15119272434962</v>
      </c>
      <c r="S13" s="20" t="n">
        <f aca="false">IF(I13=0,"",J13/I13-1)</f>
        <v>0.0269922403372145</v>
      </c>
      <c r="T13" s="20" t="n">
        <f aca="false">IF(J13=0,"",K13/J13-1)</f>
        <v>0.114053942754914</v>
      </c>
      <c r="U13" s="20" t="n">
        <f aca="false">IF(K13=0,"",L13/K13-1)</f>
        <v>-0.225336709531951</v>
      </c>
    </row>
    <row r="14" customFormat="false" ht="15" hidden="false" customHeight="false" outlineLevel="0" collapsed="false">
      <c r="A14" s="19" t="s">
        <v>183</v>
      </c>
      <c r="B14" s="22" t="s">
        <v>361</v>
      </c>
      <c r="C14" s="22" t="s">
        <v>362</v>
      </c>
      <c r="D14" s="52" t="n">
        <v>0</v>
      </c>
      <c r="E14" s="52" t="n">
        <v>0</v>
      </c>
      <c r="F14" s="52" t="n">
        <v>499890</v>
      </c>
      <c r="G14" s="52" t="n">
        <v>1011360</v>
      </c>
      <c r="H14" s="52" t="n">
        <v>2046850</v>
      </c>
      <c r="I14" s="52" t="n">
        <v>0</v>
      </c>
      <c r="J14" s="52" t="n">
        <v>0</v>
      </c>
      <c r="K14" s="52" t="n">
        <v>0</v>
      </c>
      <c r="L14" s="52" t="n">
        <v>0</v>
      </c>
      <c r="M14" s="46" t="n">
        <f aca="false">SUM(D14:L14)</f>
        <v>3558100</v>
      </c>
      <c r="N14" s="20" t="str">
        <f aca="false">IF(D14=0,"",E14/D14-1)</f>
        <v/>
      </c>
      <c r="O14" s="20" t="str">
        <f aca="false">IF(E14=0,"",F14/E14-1)</f>
        <v/>
      </c>
      <c r="P14" s="20" t="n">
        <f aca="false">IF(F14=0,"",G14/F14-1)</f>
        <v>1.02316509632119</v>
      </c>
      <c r="Q14" s="20" t="n">
        <f aca="false">IF(G14=0,"",H14/G14-1)</f>
        <v>1.02385896218953</v>
      </c>
      <c r="R14" s="20" t="n">
        <f aca="false">IF(H14=0,"",I14/H14-1)</f>
        <v>-1</v>
      </c>
      <c r="S14" s="20" t="str">
        <f aca="false">IF(I14=0,"",J14/I14-1)</f>
        <v/>
      </c>
      <c r="T14" s="20" t="str">
        <f aca="false">IF(J14=0,"",K14/J14-1)</f>
        <v/>
      </c>
      <c r="U14" s="20" t="str">
        <f aca="false">IF(K14=0,"",L14/K14-1)</f>
        <v/>
      </c>
    </row>
    <row r="15" customFormat="false" ht="15" hidden="false" customHeight="false" outlineLevel="0" collapsed="false">
      <c r="A15" s="19" t="s">
        <v>183</v>
      </c>
      <c r="B15" s="22" t="s">
        <v>260</v>
      </c>
      <c r="C15" s="19" t="s">
        <v>261</v>
      </c>
      <c r="D15" s="52" t="n">
        <v>0</v>
      </c>
      <c r="E15" s="52" t="n">
        <v>0</v>
      </c>
      <c r="F15" s="52" t="n">
        <v>0</v>
      </c>
      <c r="G15" s="52" t="n">
        <v>36237310</v>
      </c>
      <c r="H15" s="52" t="n">
        <v>38727330</v>
      </c>
      <c r="I15" s="52" t="n">
        <v>38307290</v>
      </c>
      <c r="J15" s="52" t="n">
        <v>38954690</v>
      </c>
      <c r="K15" s="52" t="n">
        <v>38183840</v>
      </c>
      <c r="L15" s="52" t="n">
        <v>40998640</v>
      </c>
      <c r="M15" s="46" t="n">
        <f aca="false">SUM(D15:L15)</f>
        <v>231409100</v>
      </c>
      <c r="N15" s="20" t="str">
        <f aca="false">IF(D15=0,"",E15/D15-1)</f>
        <v/>
      </c>
      <c r="O15" s="20" t="str">
        <f aca="false">IF(E15=0,"",F15/E15-1)</f>
        <v/>
      </c>
      <c r="P15" s="20" t="str">
        <f aca="false">IF(F15=0,"",G15/F15-1)</f>
        <v/>
      </c>
      <c r="Q15" s="20" t="n">
        <f aca="false">IF(G15=0,"",H15/G15-1)</f>
        <v>0.0687142616270358</v>
      </c>
      <c r="R15" s="20" t="n">
        <f aca="false">IF(H15=0,"",I15/H15-1)</f>
        <v>-0.0108460872463968</v>
      </c>
      <c r="S15" s="20" t="n">
        <f aca="false">IF(I15=0,"",J15/I15-1)</f>
        <v>0.0169001774857998</v>
      </c>
      <c r="T15" s="20" t="n">
        <f aca="false">IF(J15=0,"",K15/J15-1)</f>
        <v>-0.0197883746475713</v>
      </c>
      <c r="U15" s="20" t="n">
        <f aca="false">IF(K15=0,"",L15/K15-1)</f>
        <v>0.073717048887697</v>
      </c>
    </row>
    <row r="16" customFormat="false" ht="15" hidden="false" customHeight="false" outlineLevel="0" collapsed="false">
      <c r="A16" s="19" t="s">
        <v>183</v>
      </c>
      <c r="B16" s="22" t="s">
        <v>241</v>
      </c>
      <c r="C16" s="19" t="s">
        <v>242</v>
      </c>
      <c r="D16" s="52" t="n">
        <v>0</v>
      </c>
      <c r="E16" s="52" t="n">
        <v>0</v>
      </c>
      <c r="F16" s="52" t="n">
        <v>0</v>
      </c>
      <c r="G16" s="52" t="n">
        <v>81197208</v>
      </c>
      <c r="H16" s="52" t="n">
        <v>79093657</v>
      </c>
      <c r="I16" s="52" t="n">
        <v>81520660</v>
      </c>
      <c r="J16" s="52" t="n">
        <v>83219825</v>
      </c>
      <c r="K16" s="52" t="n">
        <v>77817793</v>
      </c>
      <c r="L16" s="52" t="n">
        <v>74971990</v>
      </c>
      <c r="M16" s="46" t="n">
        <f aca="false">SUM(D16:L16)</f>
        <v>477821133</v>
      </c>
      <c r="N16" s="20" t="str">
        <f aca="false">IF(D16=0,"",E16/D16-1)</f>
        <v/>
      </c>
      <c r="O16" s="20" t="str">
        <f aca="false">IF(E16=0,"",F16/E16-1)</f>
        <v/>
      </c>
      <c r="P16" s="20" t="str">
        <f aca="false">IF(F16=0,"",G16/F16-1)</f>
        <v/>
      </c>
      <c r="Q16" s="20" t="n">
        <f aca="false">IF(G16=0,"",H16/G16-1)</f>
        <v>-0.0259066912744094</v>
      </c>
      <c r="R16" s="20" t="n">
        <f aca="false">IF(H16=0,"",I16/H16-1)</f>
        <v>0.0306851787116127</v>
      </c>
      <c r="S16" s="20" t="n">
        <f aca="false">IF(I16=0,"",J16/I16-1)</f>
        <v>0.0208433665772578</v>
      </c>
      <c r="T16" s="20" t="n">
        <f aca="false">IF(J16=0,"",K16/J16-1)</f>
        <v>-0.0649128017272327</v>
      </c>
      <c r="U16" s="20" t="n">
        <f aca="false">IF(K16=0,"",L16/K16-1)</f>
        <v>-0.0365700810867252</v>
      </c>
    </row>
    <row r="17" customFormat="false" ht="15" hidden="false" customHeight="false" outlineLevel="0" collapsed="false">
      <c r="A17" s="19" t="s">
        <v>183</v>
      </c>
      <c r="B17" s="22" t="s">
        <v>306</v>
      </c>
      <c r="C17" s="19" t="s">
        <v>307</v>
      </c>
      <c r="D17" s="52" t="n">
        <v>0</v>
      </c>
      <c r="E17" s="52" t="n">
        <v>0</v>
      </c>
      <c r="F17" s="52" t="n">
        <v>0</v>
      </c>
      <c r="G17" s="52" t="n">
        <v>26272669</v>
      </c>
      <c r="H17" s="52" t="n">
        <v>30582386</v>
      </c>
      <c r="I17" s="52" t="n">
        <v>31370630</v>
      </c>
      <c r="J17" s="52" t="n">
        <v>25510995</v>
      </c>
      <c r="K17" s="52" t="n">
        <v>18784776</v>
      </c>
      <c r="L17" s="52" t="n">
        <v>18298562</v>
      </c>
      <c r="M17" s="46" t="n">
        <f aca="false">SUM(D17:L17)</f>
        <v>150820018</v>
      </c>
      <c r="N17" s="20" t="str">
        <f aca="false">IF(D17=0,"",E17/D17-1)</f>
        <v/>
      </c>
      <c r="O17" s="20" t="str">
        <f aca="false">IF(E17=0,"",F17/E17-1)</f>
        <v/>
      </c>
      <c r="P17" s="20" t="str">
        <f aca="false">IF(F17=0,"",G17/F17-1)</f>
        <v/>
      </c>
      <c r="Q17" s="20" t="n">
        <f aca="false">IF(G17=0,"",H17/G17-1)</f>
        <v>0.164038035115504</v>
      </c>
      <c r="R17" s="20" t="n">
        <f aca="false">IF(H17=0,"",I17/H17-1)</f>
        <v>0.0257744441522647</v>
      </c>
      <c r="S17" s="20" t="n">
        <f aca="false">IF(I17=0,"",J17/I17-1)</f>
        <v>-0.186787291170117</v>
      </c>
      <c r="T17" s="20" t="n">
        <f aca="false">IF(J17=0,"",K17/J17-1)</f>
        <v>-0.263659610297442</v>
      </c>
      <c r="U17" s="20" t="n">
        <f aca="false">IF(K17=0,"",L17/K17-1)</f>
        <v>-0.0258834068609601</v>
      </c>
    </row>
    <row r="18" customFormat="false" ht="15" hidden="false" customHeight="false" outlineLevel="0" collapsed="false">
      <c r="A18" s="19" t="s">
        <v>183</v>
      </c>
      <c r="B18" s="22" t="s">
        <v>348</v>
      </c>
      <c r="C18" s="19" t="s">
        <v>349</v>
      </c>
      <c r="D18" s="52" t="n">
        <v>0</v>
      </c>
      <c r="E18" s="52" t="n">
        <v>0</v>
      </c>
      <c r="F18" s="52" t="n">
        <v>0</v>
      </c>
      <c r="G18" s="52" t="n">
        <v>1753629</v>
      </c>
      <c r="H18" s="52" t="n">
        <v>2544343</v>
      </c>
      <c r="I18" s="52" t="n">
        <v>1730982</v>
      </c>
      <c r="J18" s="52" t="n">
        <v>1670770</v>
      </c>
      <c r="K18" s="52" t="n">
        <v>1549611</v>
      </c>
      <c r="L18" s="52" t="n">
        <v>409216</v>
      </c>
      <c r="M18" s="46" t="n">
        <f aca="false">SUM(D18:L18)</f>
        <v>9658551</v>
      </c>
      <c r="N18" s="20" t="str">
        <f aca="false">IF(D18=0,"",E18/D18-1)</f>
        <v/>
      </c>
      <c r="O18" s="20" t="str">
        <f aca="false">IF(E18=0,"",F18/E18-1)</f>
        <v/>
      </c>
      <c r="P18" s="20" t="str">
        <f aca="false">IF(F18=0,"",G18/F18-1)</f>
        <v/>
      </c>
      <c r="Q18" s="20" t="n">
        <f aca="false">IF(G18=0,"",H18/G18-1)</f>
        <v>0.450901530483358</v>
      </c>
      <c r="R18" s="20" t="n">
        <f aca="false">IF(H18=0,"",I18/H18-1)</f>
        <v>-0.319674273476493</v>
      </c>
      <c r="S18" s="20" t="n">
        <f aca="false">IF(I18=0,"",J18/I18-1)</f>
        <v>-0.0347848793343893</v>
      </c>
      <c r="T18" s="20" t="n">
        <f aca="false">IF(J18=0,"",K18/J18-1)</f>
        <v>-0.0725168634821071</v>
      </c>
      <c r="U18" s="20" t="n">
        <f aca="false">IF(K18=0,"",L18/K18-1)</f>
        <v>-0.735923402712036</v>
      </c>
    </row>
    <row r="19" customFormat="false" ht="15" hidden="false" customHeight="false" outlineLevel="0" collapsed="false">
      <c r="A19" s="19" t="s">
        <v>183</v>
      </c>
      <c r="B19" s="22" t="s">
        <v>230</v>
      </c>
      <c r="C19" s="19" t="s">
        <v>231</v>
      </c>
      <c r="D19" s="52" t="n">
        <v>0</v>
      </c>
      <c r="E19" s="52" t="n">
        <v>0</v>
      </c>
      <c r="F19" s="52" t="n">
        <v>0</v>
      </c>
      <c r="G19" s="52" t="n">
        <v>8903310</v>
      </c>
      <c r="H19" s="52" t="n">
        <v>71632190</v>
      </c>
      <c r="I19" s="52" t="n">
        <v>91525640</v>
      </c>
      <c r="J19" s="52" t="n">
        <v>127771850</v>
      </c>
      <c r="K19" s="52" t="n">
        <v>133724600</v>
      </c>
      <c r="L19" s="52" t="n">
        <v>134170680</v>
      </c>
      <c r="M19" s="46" t="n">
        <f aca="false">SUM(D19:L19)</f>
        <v>567728270</v>
      </c>
      <c r="N19" s="20" t="str">
        <f aca="false">IF(D19=0,"",E19/D19-1)</f>
        <v/>
      </c>
      <c r="O19" s="20" t="str">
        <f aca="false">IF(E19=0,"",F19/E19-1)</f>
        <v/>
      </c>
      <c r="P19" s="20" t="str">
        <f aca="false">IF(F19=0,"",G19/F19-1)</f>
        <v/>
      </c>
      <c r="Q19" s="20" t="n">
        <f aca="false">IF(G19=0,"",H19/G19-1)</f>
        <v>7.0455684458926</v>
      </c>
      <c r="R19" s="20" t="n">
        <f aca="false">IF(H19=0,"",I19/H19-1)</f>
        <v>0.277716624327694</v>
      </c>
      <c r="S19" s="20" t="n">
        <f aca="false">IF(I19=0,"",J19/I19-1)</f>
        <v>0.396022469769127</v>
      </c>
      <c r="T19" s="20" t="n">
        <f aca="false">IF(J19=0,"",K19/J19-1)</f>
        <v>0.0465889004502948</v>
      </c>
      <c r="U19" s="20" t="n">
        <f aca="false">IF(K19=0,"",L19/K19-1)</f>
        <v>0.0033358110624373</v>
      </c>
    </row>
    <row r="20" customFormat="false" ht="15" hidden="false" customHeight="false" outlineLevel="0" collapsed="false">
      <c r="A20" s="19" t="s">
        <v>183</v>
      </c>
      <c r="B20" s="22" t="s">
        <v>363</v>
      </c>
      <c r="C20" s="19" t="s">
        <v>364</v>
      </c>
      <c r="D20" s="52" t="n">
        <v>0</v>
      </c>
      <c r="E20" s="52" t="n">
        <v>0</v>
      </c>
      <c r="F20" s="52" t="n">
        <v>0</v>
      </c>
      <c r="G20" s="52" t="n">
        <v>8800000</v>
      </c>
      <c r="H20" s="52" t="n">
        <v>0</v>
      </c>
      <c r="I20" s="52" t="n">
        <v>8800000</v>
      </c>
      <c r="J20" s="52" t="n">
        <v>8800000</v>
      </c>
      <c r="K20" s="52" t="n">
        <v>0</v>
      </c>
      <c r="L20" s="52" t="n">
        <v>1320000</v>
      </c>
      <c r="M20" s="46" t="n">
        <f aca="false">SUM(D20:L20)</f>
        <v>27720000</v>
      </c>
      <c r="N20" s="20" t="str">
        <f aca="false">IF(D20=0,"",E20/D20-1)</f>
        <v/>
      </c>
      <c r="O20" s="20" t="str">
        <f aca="false">IF(E20=0,"",F20/E20-1)</f>
        <v/>
      </c>
      <c r="P20" s="20" t="str">
        <f aca="false">IF(F20=0,"",G20/F20-1)</f>
        <v/>
      </c>
      <c r="Q20" s="20" t="n">
        <f aca="false">IF(G20=0,"",H20/G20-1)</f>
        <v>-1</v>
      </c>
      <c r="R20" s="20" t="str">
        <f aca="false">IF(H20=0,"",I20/H20-1)</f>
        <v/>
      </c>
      <c r="S20" s="20" t="n">
        <f aca="false">IF(I20=0,"",J20/I20-1)</f>
        <v>0</v>
      </c>
      <c r="T20" s="20" t="n">
        <f aca="false">IF(J20=0,"",K20/J20-1)</f>
        <v>-1</v>
      </c>
      <c r="U20" s="20" t="str">
        <f aca="false">IF(K20=0,"",L20/K20-1)</f>
        <v/>
      </c>
    </row>
    <row r="21" customFormat="false" ht="15" hidden="false" customHeight="false" outlineLevel="0" collapsed="false">
      <c r="A21" s="19" t="s">
        <v>183</v>
      </c>
      <c r="B21" s="22" t="s">
        <v>223</v>
      </c>
      <c r="C21" s="19" t="s">
        <v>224</v>
      </c>
      <c r="D21" s="52" t="n">
        <v>0</v>
      </c>
      <c r="E21" s="52" t="n">
        <v>0</v>
      </c>
      <c r="F21" s="52" t="n">
        <v>0</v>
      </c>
      <c r="G21" s="52" t="n">
        <v>0</v>
      </c>
      <c r="H21" s="52" t="n">
        <v>130099730</v>
      </c>
      <c r="I21" s="52" t="n">
        <v>146031150</v>
      </c>
      <c r="J21" s="52" t="n">
        <v>221675530</v>
      </c>
      <c r="K21" s="52" t="n">
        <v>203417810</v>
      </c>
      <c r="L21" s="52" t="n">
        <v>191663380</v>
      </c>
      <c r="M21" s="46" t="n">
        <f aca="false">SUM(D21:L21)</f>
        <v>892887600</v>
      </c>
      <c r="N21" s="20" t="str">
        <f aca="false">IF(D21=0,"",E21/D21-1)</f>
        <v/>
      </c>
      <c r="O21" s="20" t="str">
        <f aca="false">IF(E21=0,"",F21/E21-1)</f>
        <v/>
      </c>
      <c r="P21" s="20" t="str">
        <f aca="false">IF(F21=0,"",G21/F21-1)</f>
        <v/>
      </c>
      <c r="Q21" s="20" t="str">
        <f aca="false">IF(G21=0,"",H21/G21-1)</f>
        <v/>
      </c>
      <c r="R21" s="20" t="n">
        <f aca="false">IF(H21=0,"",I21/H21-1)</f>
        <v>0.122455442451725</v>
      </c>
      <c r="S21" s="20" t="n">
        <f aca="false">IF(I21=0,"",J21/I21-1)</f>
        <v>0.518001672930741</v>
      </c>
      <c r="T21" s="20" t="n">
        <f aca="false">IF(J21=0,"",K21/J21-1)</f>
        <v>-0.0823623608794349</v>
      </c>
      <c r="U21" s="20" t="n">
        <f aca="false">IF(K21=0,"",L21/K21-1)</f>
        <v>-0.057784664971076</v>
      </c>
    </row>
    <row r="22" customFormat="false" ht="15" hidden="false" customHeight="false" outlineLevel="0" collapsed="false">
      <c r="A22" s="19" t="s">
        <v>183</v>
      </c>
      <c r="B22" s="22" t="s">
        <v>298</v>
      </c>
      <c r="C22" s="19" t="s">
        <v>299</v>
      </c>
      <c r="D22" s="52" t="n">
        <v>0</v>
      </c>
      <c r="E22" s="52" t="n">
        <v>0</v>
      </c>
      <c r="F22" s="52" t="n">
        <v>0</v>
      </c>
      <c r="G22" s="52" t="n">
        <v>0</v>
      </c>
      <c r="H22" s="52" t="n">
        <v>0</v>
      </c>
      <c r="I22" s="52" t="n">
        <v>0</v>
      </c>
      <c r="J22" s="52" t="n">
        <v>31115790</v>
      </c>
      <c r="K22" s="52" t="n">
        <v>28959700</v>
      </c>
      <c r="L22" s="52" t="n">
        <v>40039396</v>
      </c>
      <c r="M22" s="46" t="n">
        <f aca="false">SUM(D22:L22)</f>
        <v>100114886</v>
      </c>
      <c r="N22" s="20" t="str">
        <f aca="false">IF(D22=0,"",E22/D22-1)</f>
        <v/>
      </c>
      <c r="O22" s="20" t="str">
        <f aca="false">IF(E22=0,"",F22/E22-1)</f>
        <v/>
      </c>
      <c r="P22" s="20" t="str">
        <f aca="false">IF(F22=0,"",G22/F22-1)</f>
        <v/>
      </c>
      <c r="Q22" s="20" t="str">
        <f aca="false">IF(G22=0,"",H22/G22-1)</f>
        <v/>
      </c>
      <c r="R22" s="20" t="str">
        <f aca="false">IF(H22=0,"",I22/H22-1)</f>
        <v/>
      </c>
      <c r="S22" s="20" t="str">
        <f aca="false">IF(I22=0,"",J22/I22-1)</f>
        <v/>
      </c>
      <c r="T22" s="20" t="n">
        <f aca="false">IF(J22=0,"",K22/J22-1)</f>
        <v>-0.0692924717643357</v>
      </c>
      <c r="U22" s="20" t="n">
        <f aca="false">IF(K22=0,"",L22/K22-1)</f>
        <v>0.382590151141069</v>
      </c>
    </row>
    <row r="23" customFormat="false" ht="15" hidden="false" customHeight="false" outlineLevel="0" collapsed="false">
      <c r="A23" s="19" t="s">
        <v>183</v>
      </c>
      <c r="B23" s="22" t="s">
        <v>245</v>
      </c>
      <c r="C23" s="19" t="s">
        <v>246</v>
      </c>
      <c r="D23" s="52" t="n">
        <v>0</v>
      </c>
      <c r="E23" s="52" t="n">
        <v>0</v>
      </c>
      <c r="F23" s="52" t="n">
        <v>0</v>
      </c>
      <c r="G23" s="52" t="n">
        <v>0</v>
      </c>
      <c r="H23" s="52" t="n">
        <v>0</v>
      </c>
      <c r="I23" s="52" t="n">
        <v>0</v>
      </c>
      <c r="J23" s="52" t="n">
        <v>29104695</v>
      </c>
      <c r="K23" s="52" t="n">
        <v>46092791</v>
      </c>
      <c r="L23" s="52" t="n">
        <v>67011715</v>
      </c>
      <c r="M23" s="46" t="n">
        <f aca="false">SUM(D23:L23)</f>
        <v>142209201</v>
      </c>
      <c r="N23" s="20" t="str">
        <f aca="false">IF(D23=0,"",E23/D23-1)</f>
        <v/>
      </c>
      <c r="O23" s="20" t="str">
        <f aca="false">IF(E23=0,"",F23/E23-1)</f>
        <v/>
      </c>
      <c r="P23" s="20" t="str">
        <f aca="false">IF(F23=0,"",G23/F23-1)</f>
        <v/>
      </c>
      <c r="Q23" s="20" t="str">
        <f aca="false">IF(G23=0,"",H23/G23-1)</f>
        <v/>
      </c>
      <c r="R23" s="20" t="str">
        <f aca="false">IF(H23=0,"",I23/H23-1)</f>
        <v/>
      </c>
      <c r="S23" s="20" t="str">
        <f aca="false">IF(I23=0,"",J23/I23-1)</f>
        <v/>
      </c>
      <c r="T23" s="20" t="n">
        <f aca="false">IF(J23=0,"",K23/J23-1)</f>
        <v>0.583689195162499</v>
      </c>
      <c r="U23" s="20" t="n">
        <f aca="false">IF(K23=0,"",L23/K23-1)</f>
        <v>0.453843725800853</v>
      </c>
    </row>
    <row r="24" customFormat="false" ht="15" hidden="false" customHeight="false" outlineLevel="0" collapsed="false">
      <c r="A24" s="19" t="s">
        <v>183</v>
      </c>
      <c r="B24" s="22" t="s">
        <v>190</v>
      </c>
      <c r="C24" s="19" t="s">
        <v>191</v>
      </c>
      <c r="D24" s="52" t="n">
        <v>0</v>
      </c>
      <c r="E24" s="52" t="n">
        <v>0</v>
      </c>
      <c r="F24" s="52" t="n">
        <v>0</v>
      </c>
      <c r="G24" s="52" t="n">
        <v>0</v>
      </c>
      <c r="H24" s="52" t="n">
        <v>0</v>
      </c>
      <c r="I24" s="52" t="n">
        <v>20030000</v>
      </c>
      <c r="J24" s="52" t="n">
        <v>43400000</v>
      </c>
      <c r="K24" s="52" t="n">
        <v>43426000</v>
      </c>
      <c r="L24" s="52" t="n">
        <v>43500000</v>
      </c>
      <c r="M24" s="46" t="n">
        <f aca="false">SUM(D24:L24)</f>
        <v>150356000</v>
      </c>
      <c r="N24" s="20" t="str">
        <f aca="false">IF(D24=0,"",E24/D24-1)</f>
        <v/>
      </c>
      <c r="O24" s="20" t="str">
        <f aca="false">IF(E24=0,"",F24/E24-1)</f>
        <v/>
      </c>
      <c r="P24" s="20" t="str">
        <f aca="false">IF(F24=0,"",G24/F24-1)</f>
        <v/>
      </c>
      <c r="Q24" s="20" t="str">
        <f aca="false">IF(G24=0,"",H24/G24-1)</f>
        <v/>
      </c>
      <c r="R24" s="20" t="str">
        <f aca="false">IF(H24=0,"",I24/H24-1)</f>
        <v/>
      </c>
      <c r="S24" s="20" t="n">
        <f aca="false">IF(I24=0,"",J24/I24-1)</f>
        <v>1.16674987518722</v>
      </c>
      <c r="T24" s="20" t="n">
        <f aca="false">IF(J24=0,"",K24/J24-1)</f>
        <v>0.000599078341013914</v>
      </c>
      <c r="U24" s="20" t="n">
        <f aca="false">IF(K24=0,"",L24/K24-1)</f>
        <v>0.00170404826601578</v>
      </c>
    </row>
    <row r="25" customFormat="false" ht="15" hidden="false" customHeight="false" outlineLevel="0" collapsed="false">
      <c r="A25" s="19" t="s">
        <v>183</v>
      </c>
      <c r="B25" s="22" t="s">
        <v>253</v>
      </c>
      <c r="C25" s="19" t="s">
        <v>254</v>
      </c>
      <c r="D25" s="52" t="n">
        <v>0</v>
      </c>
      <c r="E25" s="52" t="n">
        <v>0</v>
      </c>
      <c r="F25" s="52" t="n">
        <v>0</v>
      </c>
      <c r="G25" s="52" t="n">
        <v>0</v>
      </c>
      <c r="H25" s="52" t="n">
        <v>0</v>
      </c>
      <c r="I25" s="52" t="n">
        <v>0</v>
      </c>
      <c r="J25" s="52" t="n">
        <v>106568</v>
      </c>
      <c r="K25" s="52" t="n">
        <v>2030955</v>
      </c>
      <c r="L25" s="52" t="n">
        <v>1705734</v>
      </c>
      <c r="M25" s="46" t="n">
        <f aca="false">SUM(D25:L25)</f>
        <v>3843257</v>
      </c>
      <c r="N25" s="20" t="str">
        <f aca="false">IF(D25=0,"",E25/D25-1)</f>
        <v/>
      </c>
      <c r="O25" s="20" t="str">
        <f aca="false">IF(E25=0,"",F25/E25-1)</f>
        <v/>
      </c>
      <c r="P25" s="20" t="str">
        <f aca="false">IF(F25=0,"",G25/F25-1)</f>
        <v/>
      </c>
      <c r="Q25" s="20" t="str">
        <f aca="false">IF(G25=0,"",H25/G25-1)</f>
        <v/>
      </c>
      <c r="R25" s="20" t="str">
        <f aca="false">IF(H25=0,"",I25/H25-1)</f>
        <v/>
      </c>
      <c r="S25" s="20" t="str">
        <f aca="false">IF(I25=0,"",J25/I25-1)</f>
        <v/>
      </c>
      <c r="T25" s="20" t="n">
        <f aca="false">IF(J25=0,"",K25/J25-1)</f>
        <v>18.0578316192478</v>
      </c>
      <c r="U25" s="20" t="n">
        <f aca="false">IF(K25=0,"",L25/K25-1)</f>
        <v>-0.160132056101686</v>
      </c>
    </row>
    <row r="26" customFormat="false" ht="15" hidden="false" customHeight="false" outlineLevel="0" collapsed="false">
      <c r="A26" s="19" t="s">
        <v>183</v>
      </c>
      <c r="B26" s="22" t="s">
        <v>322</v>
      </c>
      <c r="C26" s="19" t="s">
        <v>323</v>
      </c>
      <c r="D26" s="52" t="n">
        <v>0</v>
      </c>
      <c r="E26" s="52" t="n">
        <v>0</v>
      </c>
      <c r="F26" s="52" t="n">
        <v>0</v>
      </c>
      <c r="G26" s="52" t="n">
        <v>0</v>
      </c>
      <c r="H26" s="52" t="n">
        <v>0</v>
      </c>
      <c r="I26" s="52" t="n">
        <v>0</v>
      </c>
      <c r="J26" s="52" t="n">
        <v>0</v>
      </c>
      <c r="K26" s="52" t="n">
        <v>0</v>
      </c>
      <c r="L26" s="52" t="n">
        <v>4316104</v>
      </c>
      <c r="M26" s="46" t="n">
        <f aca="false">SUM(D26:L26)</f>
        <v>4316104</v>
      </c>
      <c r="N26" s="20" t="str">
        <f aca="false">IF(D26=0,"",E26/D26-1)</f>
        <v/>
      </c>
      <c r="O26" s="20" t="str">
        <f aca="false">IF(E26=0,"",F26/E26-1)</f>
        <v/>
      </c>
      <c r="P26" s="20" t="str">
        <f aca="false">IF(F26=0,"",G26/F26-1)</f>
        <v/>
      </c>
      <c r="Q26" s="20" t="str">
        <f aca="false">IF(G26=0,"",H26/G26-1)</f>
        <v/>
      </c>
      <c r="R26" s="20" t="str">
        <f aca="false">IF(H26=0,"",I26/H26-1)</f>
        <v/>
      </c>
      <c r="S26" s="20" t="str">
        <f aca="false">IF(I26=0,"",J26/I26-1)</f>
        <v/>
      </c>
      <c r="T26" s="20" t="str">
        <f aca="false">IF(J26=0,"",K26/J26-1)</f>
        <v/>
      </c>
      <c r="U26" s="20" t="str">
        <f aca="false">IF(K26=0,"",L26/K26-1)</f>
        <v/>
      </c>
    </row>
    <row r="27" customFormat="false" ht="15" hidden="false" customHeight="false" outlineLevel="0" collapsed="false">
      <c r="A27" s="19" t="s">
        <v>183</v>
      </c>
      <c r="B27" s="22" t="s">
        <v>222</v>
      </c>
      <c r="C27" s="19" t="s">
        <v>66</v>
      </c>
      <c r="D27" s="52" t="n">
        <v>0</v>
      </c>
      <c r="E27" s="52" t="n">
        <v>0</v>
      </c>
      <c r="F27" s="52" t="n">
        <v>0</v>
      </c>
      <c r="G27" s="52" t="n">
        <v>0</v>
      </c>
      <c r="H27" s="52" t="n">
        <v>0</v>
      </c>
      <c r="I27" s="52" t="n">
        <v>0</v>
      </c>
      <c r="J27" s="52" t="n">
        <v>0</v>
      </c>
      <c r="K27" s="52" t="n">
        <v>0</v>
      </c>
      <c r="L27" s="52" t="n">
        <v>88518594</v>
      </c>
      <c r="M27" s="46" t="n">
        <f aca="false">SUM(D27:L27)</f>
        <v>88518594</v>
      </c>
      <c r="N27" s="20" t="str">
        <f aca="false">IF(D27=0,"",E27/D27-1)</f>
        <v/>
      </c>
      <c r="O27" s="20" t="str">
        <f aca="false">IF(E27=0,"",F27/E27-1)</f>
        <v/>
      </c>
      <c r="P27" s="20" t="str">
        <f aca="false">IF(F27=0,"",G27/F27-1)</f>
        <v/>
      </c>
      <c r="Q27" s="20" t="str">
        <f aca="false">IF(G27=0,"",H27/G27-1)</f>
        <v/>
      </c>
      <c r="R27" s="20" t="str">
        <f aca="false">IF(H27=0,"",I27/H27-1)</f>
        <v/>
      </c>
      <c r="S27" s="20" t="str">
        <f aca="false">IF(I27=0,"",J27/I27-1)</f>
        <v/>
      </c>
      <c r="T27" s="20" t="str">
        <f aca="false">IF(J27=0,"",K27/J27-1)</f>
        <v/>
      </c>
      <c r="U27" s="20" t="str">
        <f aca="false">IF(K27=0,"",L27/K27-1)</f>
        <v/>
      </c>
    </row>
    <row r="28" customFormat="false" ht="15" hidden="false" customHeight="false" outlineLevel="0" collapsed="false">
      <c r="A28" s="19" t="s">
        <v>183</v>
      </c>
      <c r="B28" s="22" t="s">
        <v>365</v>
      </c>
      <c r="C28" s="19" t="s">
        <v>366</v>
      </c>
      <c r="D28" s="52" t="n">
        <v>0</v>
      </c>
      <c r="E28" s="52" t="n">
        <v>0</v>
      </c>
      <c r="F28" s="52" t="n">
        <v>0</v>
      </c>
      <c r="G28" s="52" t="n">
        <v>0</v>
      </c>
      <c r="H28" s="52" t="n">
        <v>0</v>
      </c>
      <c r="I28" s="52" t="n">
        <v>0</v>
      </c>
      <c r="J28" s="52" t="n">
        <v>0</v>
      </c>
      <c r="K28" s="52" t="n">
        <v>0</v>
      </c>
      <c r="L28" s="52" t="n">
        <v>0</v>
      </c>
      <c r="M28" s="46" t="n">
        <f aca="false">SUM(D28:L28)</f>
        <v>0</v>
      </c>
      <c r="N28" s="20" t="str">
        <f aca="false">IF(D28=0,"",E28/D28-1)</f>
        <v/>
      </c>
      <c r="O28" s="20" t="str">
        <f aca="false">IF(E28=0,"",F28/E28-1)</f>
        <v/>
      </c>
      <c r="P28" s="20" t="str">
        <f aca="false">IF(F28=0,"",G28/F28-1)</f>
        <v/>
      </c>
      <c r="Q28" s="20" t="str">
        <f aca="false">IF(G28=0,"",H28/G28-1)</f>
        <v/>
      </c>
      <c r="R28" s="20" t="str">
        <f aca="false">IF(H28=0,"",I28/H28-1)</f>
        <v/>
      </c>
      <c r="S28" s="20" t="str">
        <f aca="false">IF(I28=0,"",J28/I28-1)</f>
        <v/>
      </c>
      <c r="T28" s="20" t="str">
        <f aca="false">IF(J28=0,"",K28/J28-1)</f>
        <v/>
      </c>
      <c r="U28" s="20" t="str">
        <f aca="false">IF(K28=0,"",L28/K28-1)</f>
        <v/>
      </c>
    </row>
    <row r="29" customFormat="false" ht="15" hidden="false" customHeight="false" outlineLevel="0" collapsed="false">
      <c r="A29" s="19" t="s">
        <v>181</v>
      </c>
      <c r="B29" s="22" t="s">
        <v>367</v>
      </c>
      <c r="C29" s="19" t="s">
        <v>368</v>
      </c>
      <c r="D29" s="52" t="n">
        <v>512758134</v>
      </c>
      <c r="E29" s="52" t="n">
        <v>470915880</v>
      </c>
      <c r="F29" s="52" t="n">
        <v>432910898</v>
      </c>
      <c r="G29" s="52" t="n">
        <v>383773066</v>
      </c>
      <c r="H29" s="52" t="n">
        <v>279025480</v>
      </c>
      <c r="I29" s="52" t="n">
        <v>102889580</v>
      </c>
      <c r="J29" s="52" t="n">
        <v>1315800</v>
      </c>
      <c r="K29" s="52" t="n">
        <v>0</v>
      </c>
      <c r="L29" s="52" t="n">
        <v>0</v>
      </c>
      <c r="M29" s="46" t="n">
        <f aca="false">SUM(D29:L29)</f>
        <v>2183588838</v>
      </c>
      <c r="N29" s="20" t="n">
        <f aca="false">IF(D29=0,"",E29/D29-1)</f>
        <v>-0.08160232130028</v>
      </c>
      <c r="O29" s="20" t="n">
        <f aca="false">IF(E29=0,"",F29/E29-1)</f>
        <v>-0.0807043967173076</v>
      </c>
      <c r="P29" s="20" t="n">
        <f aca="false">IF(F29=0,"",G29/F29-1)</f>
        <v>-0.113505647991333</v>
      </c>
      <c r="Q29" s="20" t="n">
        <f aca="false">IF(G29=0,"",H29/G29-1)</f>
        <v>-0.272941473177797</v>
      </c>
      <c r="R29" s="20" t="n">
        <f aca="false">IF(H29=0,"",I29/H29-1)</f>
        <v>-0.631253819543649</v>
      </c>
      <c r="S29" s="20" t="n">
        <f aca="false">IF(I29=0,"",J29/I29-1)</f>
        <v>-0.987211532985167</v>
      </c>
      <c r="T29" s="20" t="n">
        <f aca="false">IF(J29=0,"",K29/J29-1)</f>
        <v>-1</v>
      </c>
      <c r="U29" s="20" t="str">
        <f aca="false">IF(K29=0,"",L29/K29-1)</f>
        <v/>
      </c>
    </row>
    <row r="30" customFormat="false" ht="15" hidden="false" customHeight="false" outlineLevel="0" collapsed="false">
      <c r="A30" s="19" t="s">
        <v>181</v>
      </c>
      <c r="B30" s="22" t="s">
        <v>268</v>
      </c>
      <c r="C30" s="19" t="s">
        <v>269</v>
      </c>
      <c r="D30" s="52" t="n">
        <v>44006866</v>
      </c>
      <c r="E30" s="52" t="n">
        <v>39810454</v>
      </c>
      <c r="F30" s="52" t="n">
        <v>43747504</v>
      </c>
      <c r="G30" s="52" t="n">
        <v>33116244</v>
      </c>
      <c r="H30" s="52" t="n">
        <v>45991810</v>
      </c>
      <c r="I30" s="52" t="n">
        <v>37533857</v>
      </c>
      <c r="J30" s="52" t="n">
        <v>43197523</v>
      </c>
      <c r="K30" s="52" t="n">
        <v>35918637</v>
      </c>
      <c r="L30" s="52" t="n">
        <v>37227478</v>
      </c>
      <c r="M30" s="46" t="n">
        <f aca="false">SUM(D30:L30)</f>
        <v>360550373</v>
      </c>
      <c r="N30" s="20" t="n">
        <f aca="false">IF(D30=0,"",E30/D30-1)</f>
        <v>-0.0953581197988513</v>
      </c>
      <c r="O30" s="20" t="n">
        <f aca="false">IF(E30=0,"",F30/E30-1)</f>
        <v>0.0988948782146519</v>
      </c>
      <c r="P30" s="20" t="n">
        <f aca="false">IF(F30=0,"",G30/F30-1)</f>
        <v>-0.24301409287259</v>
      </c>
      <c r="Q30" s="20" t="n">
        <f aca="false">IF(G30=0,"",H30/G30-1)</f>
        <v>0.388799104149613</v>
      </c>
      <c r="R30" s="20" t="n">
        <f aca="false">IF(H30=0,"",I30/H30-1)</f>
        <v>-0.18390128590286</v>
      </c>
      <c r="S30" s="20" t="n">
        <f aca="false">IF(I30=0,"",J30/I30-1)</f>
        <v>0.150894857408339</v>
      </c>
      <c r="T30" s="20" t="n">
        <f aca="false">IF(J30=0,"",K30/J30-1)</f>
        <v>-0.168502393065454</v>
      </c>
      <c r="U30" s="20" t="n">
        <f aca="false">IF(K30=0,"",L30/K30-1)</f>
        <v>0.0364390497334295</v>
      </c>
    </row>
    <row r="31" customFormat="false" ht="15" hidden="false" customHeight="false" outlineLevel="0" collapsed="false">
      <c r="A31" s="19" t="s">
        <v>181</v>
      </c>
      <c r="B31" s="22" t="s">
        <v>232</v>
      </c>
      <c r="C31" s="19" t="s">
        <v>65</v>
      </c>
      <c r="D31" s="52" t="n">
        <v>101418737</v>
      </c>
      <c r="E31" s="52" t="n">
        <v>93411900</v>
      </c>
      <c r="F31" s="52" t="n">
        <v>113344138</v>
      </c>
      <c r="G31" s="52" t="n">
        <v>119518241</v>
      </c>
      <c r="H31" s="52" t="n">
        <v>125835132</v>
      </c>
      <c r="I31" s="52" t="n">
        <v>142148524</v>
      </c>
      <c r="J31" s="52" t="n">
        <v>159056333</v>
      </c>
      <c r="K31" s="52" t="n">
        <v>151061125</v>
      </c>
      <c r="L31" s="52" t="n">
        <v>134444334</v>
      </c>
      <c r="M31" s="46" t="n">
        <f aca="false">SUM(D31:L31)</f>
        <v>1140238464</v>
      </c>
      <c r="N31" s="20" t="n">
        <f aca="false">IF(D31=0,"",E31/D31-1)</f>
        <v>-0.0789483012394445</v>
      </c>
      <c r="O31" s="20" t="n">
        <f aca="false">IF(E31=0,"",F31/E31-1)</f>
        <v>0.213380072560348</v>
      </c>
      <c r="P31" s="20" t="n">
        <f aca="false">IF(F31=0,"",G31/F31-1)</f>
        <v>0.0544721862898636</v>
      </c>
      <c r="Q31" s="20" t="n">
        <f aca="false">IF(G31=0,"",H31/G31-1)</f>
        <v>0.0528529448488118</v>
      </c>
      <c r="R31" s="20" t="n">
        <f aca="false">IF(H31=0,"",I31/H31-1)</f>
        <v>0.12964099723756</v>
      </c>
      <c r="S31" s="20" t="n">
        <f aca="false">IF(I31=0,"",J31/I31-1)</f>
        <v>0.118944668043124</v>
      </c>
      <c r="T31" s="20" t="n">
        <f aca="false">IF(J31=0,"",K31/J31-1)</f>
        <v>-0.0502665178380543</v>
      </c>
      <c r="U31" s="20" t="n">
        <f aca="false">IF(K31=0,"",L31/K31-1)</f>
        <v>-0.110000445184027</v>
      </c>
    </row>
    <row r="32" customFormat="false" ht="15" hidden="false" customHeight="false" outlineLevel="0" collapsed="false">
      <c r="A32" s="19" t="s">
        <v>181</v>
      </c>
      <c r="B32" s="22" t="s">
        <v>188</v>
      </c>
      <c r="C32" s="19" t="s">
        <v>189</v>
      </c>
      <c r="D32" s="52" t="n">
        <v>1085818047</v>
      </c>
      <c r="E32" s="52" t="n">
        <v>986496126</v>
      </c>
      <c r="F32" s="52" t="n">
        <v>844300927</v>
      </c>
      <c r="G32" s="52" t="n">
        <v>756413765</v>
      </c>
      <c r="H32" s="52" t="n">
        <v>974816313</v>
      </c>
      <c r="I32" s="52" t="n">
        <v>896600011</v>
      </c>
      <c r="J32" s="52" t="n">
        <v>1149347794</v>
      </c>
      <c r="K32" s="52" t="n">
        <v>1085902841</v>
      </c>
      <c r="L32" s="52" t="n">
        <v>923064584</v>
      </c>
      <c r="M32" s="46" t="n">
        <f aca="false">SUM(D32:L32)</f>
        <v>8702760408</v>
      </c>
      <c r="N32" s="20" t="n">
        <f aca="false">IF(D32=0,"",E32/D32-1)</f>
        <v>-0.0914719747700049</v>
      </c>
      <c r="O32" s="20" t="n">
        <f aca="false">IF(E32=0,"",F32/E32-1)</f>
        <v>-0.144141669949143</v>
      </c>
      <c r="P32" s="20" t="n">
        <f aca="false">IF(F32=0,"",G32/F32-1)</f>
        <v>-0.104094593751405</v>
      </c>
      <c r="Q32" s="20" t="n">
        <f aca="false">IF(G32=0,"",H32/G32-1)</f>
        <v>0.288734232645806</v>
      </c>
      <c r="R32" s="20" t="n">
        <f aca="false">IF(H32=0,"",I32/H32-1)</f>
        <v>-0.0802369646023763</v>
      </c>
      <c r="S32" s="20" t="n">
        <f aca="false">IF(I32=0,"",J32/I32-1)</f>
        <v>0.281895806267172</v>
      </c>
      <c r="T32" s="20" t="n">
        <f aca="false">IF(J32=0,"",K32/J32-1)</f>
        <v>-0.0552008307069496</v>
      </c>
      <c r="U32" s="20" t="n">
        <f aca="false">IF(K32=0,"",L32/K32-1)</f>
        <v>-0.149956562274064</v>
      </c>
    </row>
    <row r="33" customFormat="false" ht="15" hidden="false" customHeight="false" outlineLevel="0" collapsed="false">
      <c r="A33" s="19" t="s">
        <v>181</v>
      </c>
      <c r="B33" s="22" t="s">
        <v>213</v>
      </c>
      <c r="C33" s="19" t="s">
        <v>214</v>
      </c>
      <c r="D33" s="52" t="n">
        <v>343275176</v>
      </c>
      <c r="E33" s="52" t="n">
        <v>322395226</v>
      </c>
      <c r="F33" s="52" t="n">
        <v>301655454</v>
      </c>
      <c r="G33" s="52" t="n">
        <v>296848389</v>
      </c>
      <c r="H33" s="52" t="n">
        <v>331941314</v>
      </c>
      <c r="I33" s="52" t="n">
        <v>282091614</v>
      </c>
      <c r="J33" s="52" t="n">
        <v>307144497</v>
      </c>
      <c r="K33" s="52" t="n">
        <v>329171093</v>
      </c>
      <c r="L33" s="52" t="n">
        <v>297556403</v>
      </c>
      <c r="M33" s="46" t="n">
        <f aca="false">SUM(D33:L33)</f>
        <v>2812079166</v>
      </c>
      <c r="N33" s="20" t="n">
        <f aca="false">IF(D33=0,"",E33/D33-1)</f>
        <v>-0.0608256916311362</v>
      </c>
      <c r="O33" s="20" t="n">
        <f aca="false">IF(E33=0,"",F33/E33-1)</f>
        <v>-0.0643302702007133</v>
      </c>
      <c r="P33" s="20" t="n">
        <f aca="false">IF(F33=0,"",G33/F33-1)</f>
        <v>-0.015935614411268</v>
      </c>
      <c r="Q33" s="20" t="n">
        <f aca="false">IF(G33=0,"",H33/G33-1)</f>
        <v>0.118218344112354</v>
      </c>
      <c r="R33" s="20" t="n">
        <f aca="false">IF(H33=0,"",I33/H33-1)</f>
        <v>-0.150176244708123</v>
      </c>
      <c r="S33" s="20" t="n">
        <f aca="false">IF(I33=0,"",J33/I33-1)</f>
        <v>0.0888111583494291</v>
      </c>
      <c r="T33" s="20" t="n">
        <f aca="false">IF(J33=0,"",K33/J33-1)</f>
        <v>0.0717141157179841</v>
      </c>
      <c r="U33" s="20" t="n">
        <f aca="false">IF(K33=0,"",L33/K33-1)</f>
        <v>-0.0960433363448473</v>
      </c>
    </row>
    <row r="34" customFormat="false" ht="15" hidden="false" customHeight="false" outlineLevel="0" collapsed="false">
      <c r="A34" s="19" t="s">
        <v>181</v>
      </c>
      <c r="B34" s="22" t="s">
        <v>369</v>
      </c>
      <c r="C34" s="19" t="s">
        <v>370</v>
      </c>
      <c r="D34" s="52" t="n">
        <v>12869730</v>
      </c>
      <c r="E34" s="52" t="n">
        <v>11626390</v>
      </c>
      <c r="F34" s="52" t="n">
        <v>11490243</v>
      </c>
      <c r="G34" s="52" t="n">
        <v>0</v>
      </c>
      <c r="H34" s="52" t="n">
        <v>0</v>
      </c>
      <c r="I34" s="52" t="n">
        <v>0</v>
      </c>
      <c r="J34" s="52" t="n">
        <v>0</v>
      </c>
      <c r="K34" s="52" t="n">
        <v>0</v>
      </c>
      <c r="L34" s="52" t="n">
        <v>0</v>
      </c>
      <c r="M34" s="46" t="n">
        <f aca="false">SUM(D34:L34)</f>
        <v>35986363</v>
      </c>
      <c r="N34" s="20" t="n">
        <f aca="false">IF(D34=0,"",E34/D34-1)</f>
        <v>-0.096609641383308</v>
      </c>
      <c r="O34" s="20" t="n">
        <f aca="false">IF(E34=0,"",F34/E34-1)</f>
        <v>-0.0117101697087402</v>
      </c>
      <c r="P34" s="20" t="n">
        <f aca="false">IF(F34=0,"",G34/F34-1)</f>
        <v>-1</v>
      </c>
      <c r="Q34" s="20" t="str">
        <f aca="false">IF(G34=0,"",H34/G34-1)</f>
        <v/>
      </c>
      <c r="R34" s="20" t="str">
        <f aca="false">IF(H34=0,"",I34/H34-1)</f>
        <v/>
      </c>
      <c r="S34" s="20" t="str">
        <f aca="false">IF(I34=0,"",J34/I34-1)</f>
        <v/>
      </c>
      <c r="T34" s="20" t="str">
        <f aca="false">IF(J34=0,"",K34/J34-1)</f>
        <v/>
      </c>
      <c r="U34" s="20" t="str">
        <f aca="false">IF(K34=0,"",L34/K34-1)</f>
        <v/>
      </c>
    </row>
    <row r="35" customFormat="false" ht="15" hidden="false" customHeight="false" outlineLevel="0" collapsed="false">
      <c r="A35" s="19" t="s">
        <v>181</v>
      </c>
      <c r="B35" s="22" t="s">
        <v>371</v>
      </c>
      <c r="C35" s="19" t="s">
        <v>372</v>
      </c>
      <c r="D35" s="52" t="n">
        <v>7911250</v>
      </c>
      <c r="E35" s="52" t="n">
        <v>7518910</v>
      </c>
      <c r="F35" s="52" t="n">
        <v>0</v>
      </c>
      <c r="G35" s="52" t="n">
        <v>0</v>
      </c>
      <c r="H35" s="52" t="n">
        <v>0</v>
      </c>
      <c r="I35" s="52" t="n">
        <v>0</v>
      </c>
      <c r="J35" s="52" t="n">
        <v>0</v>
      </c>
      <c r="K35" s="52" t="n">
        <v>0</v>
      </c>
      <c r="L35" s="52" t="n">
        <v>0</v>
      </c>
      <c r="M35" s="46" t="n">
        <f aca="false">SUM(D35:L35)</f>
        <v>15430160</v>
      </c>
      <c r="N35" s="20" t="n">
        <f aca="false">IF(D35=0,"",E35/D35-1)</f>
        <v>-0.049592668668036</v>
      </c>
      <c r="O35" s="20" t="n">
        <f aca="false">IF(E35=0,"",F35/E35-1)</f>
        <v>-1</v>
      </c>
      <c r="P35" s="20" t="str">
        <f aca="false">IF(F35=0,"",G35/F35-1)</f>
        <v/>
      </c>
      <c r="Q35" s="20" t="str">
        <f aca="false">IF(G35=0,"",H35/G35-1)</f>
        <v/>
      </c>
      <c r="R35" s="20" t="str">
        <f aca="false">IF(H35=0,"",I35/H35-1)</f>
        <v/>
      </c>
      <c r="S35" s="20" t="str">
        <f aca="false">IF(I35=0,"",J35/I35-1)</f>
        <v/>
      </c>
      <c r="T35" s="20" t="str">
        <f aca="false">IF(J35=0,"",K35/J35-1)</f>
        <v/>
      </c>
      <c r="U35" s="20" t="str">
        <f aca="false">IF(K35=0,"",L35/K35-1)</f>
        <v/>
      </c>
    </row>
    <row r="36" customFormat="false" ht="15" hidden="false" customHeight="false" outlineLevel="0" collapsed="false">
      <c r="A36" s="19" t="s">
        <v>181</v>
      </c>
      <c r="B36" s="22" t="s">
        <v>373</v>
      </c>
      <c r="C36" s="19" t="s">
        <v>374</v>
      </c>
      <c r="D36" s="52" t="n">
        <v>0</v>
      </c>
      <c r="E36" s="52" t="n">
        <v>0</v>
      </c>
      <c r="F36" s="52" t="n">
        <v>8736340</v>
      </c>
      <c r="G36" s="52" t="n">
        <v>14291190</v>
      </c>
      <c r="H36" s="52" t="n">
        <v>16834400</v>
      </c>
      <c r="I36" s="52" t="n">
        <v>14462390</v>
      </c>
      <c r="J36" s="52" t="n">
        <v>5377150</v>
      </c>
      <c r="K36" s="52" t="n">
        <v>0</v>
      </c>
      <c r="L36" s="52" t="n">
        <v>0</v>
      </c>
      <c r="M36" s="46" t="n">
        <f aca="false">SUM(D36:L36)</f>
        <v>59701470</v>
      </c>
      <c r="N36" s="20" t="str">
        <f aca="false">IF(D36=0,"",E36/D36-1)</f>
        <v/>
      </c>
      <c r="O36" s="20" t="str">
        <f aca="false">IF(E36=0,"",F36/E36-1)</f>
        <v/>
      </c>
      <c r="P36" s="20" t="n">
        <f aca="false">IF(F36=0,"",G36/F36-1)</f>
        <v>0.635832625561734</v>
      </c>
      <c r="Q36" s="20" t="n">
        <f aca="false">IF(G36=0,"",H36/G36-1)</f>
        <v>0.17795648927766</v>
      </c>
      <c r="R36" s="20" t="n">
        <f aca="false">IF(H36=0,"",I36/H36-1)</f>
        <v>-0.140902556669676</v>
      </c>
      <c r="S36" s="20" t="n">
        <f aca="false">IF(I36=0,"",J36/I36-1)</f>
        <v>-0.628197690699808</v>
      </c>
      <c r="T36" s="20" t="n">
        <f aca="false">IF(J36=0,"",K36/J36-1)</f>
        <v>-1</v>
      </c>
      <c r="U36" s="20" t="str">
        <f aca="false">IF(K36=0,"",L36/K36-1)</f>
        <v/>
      </c>
    </row>
    <row r="37" customFormat="false" ht="15" hidden="false" customHeight="false" outlineLevel="0" collapsed="false">
      <c r="A37" s="19" t="s">
        <v>181</v>
      </c>
      <c r="B37" s="22" t="s">
        <v>221</v>
      </c>
      <c r="C37" s="19" t="s">
        <v>70</v>
      </c>
      <c r="D37" s="52" t="n">
        <v>275302535</v>
      </c>
      <c r="E37" s="52" t="n">
        <v>257677665</v>
      </c>
      <c r="F37" s="52" t="n">
        <v>282420182</v>
      </c>
      <c r="G37" s="52" t="n">
        <v>239632710</v>
      </c>
      <c r="H37" s="52" t="n">
        <v>265433874</v>
      </c>
      <c r="I37" s="52" t="n">
        <v>243531731</v>
      </c>
      <c r="J37" s="52" t="n">
        <v>234373077</v>
      </c>
      <c r="K37" s="52" t="n">
        <v>215727207</v>
      </c>
      <c r="L37" s="52" t="n">
        <v>225175374</v>
      </c>
      <c r="M37" s="46" t="n">
        <f aca="false">SUM(D37:L37)</f>
        <v>2239274355</v>
      </c>
      <c r="N37" s="20" t="n">
        <f aca="false">IF(D37=0,"",E37/D37-1)</f>
        <v>-0.0640200062088059</v>
      </c>
      <c r="O37" s="20" t="n">
        <f aca="false">IF(E37=0,"",F37/E37-1)</f>
        <v>0.0960211937654745</v>
      </c>
      <c r="P37" s="20" t="n">
        <f aca="false">IF(F37=0,"",G37/F37-1)</f>
        <v>-0.151502883742211</v>
      </c>
      <c r="Q37" s="20" t="n">
        <f aca="false">IF(G37=0,"",H37/G37-1)</f>
        <v>0.10766962490221</v>
      </c>
      <c r="R37" s="20" t="n">
        <f aca="false">IF(H37=0,"",I37/H37-1)</f>
        <v>-0.0825144985074512</v>
      </c>
      <c r="S37" s="20" t="n">
        <f aca="false">IF(I37=0,"",J37/I37-1)</f>
        <v>-0.0376076413631701</v>
      </c>
      <c r="T37" s="20" t="n">
        <f aca="false">IF(J37=0,"",K37/J37-1)</f>
        <v>-0.0795563647440615</v>
      </c>
      <c r="U37" s="20" t="n">
        <f aca="false">IF(K37=0,"",L37/K37-1)</f>
        <v>0.0437968262389825</v>
      </c>
    </row>
    <row r="38" customFormat="false" ht="15" hidden="false" customHeight="false" outlineLevel="0" collapsed="false">
      <c r="A38" s="19" t="s">
        <v>181</v>
      </c>
      <c r="B38" s="22" t="s">
        <v>376</v>
      </c>
      <c r="C38" s="19" t="s">
        <v>377</v>
      </c>
      <c r="D38" s="52" t="n">
        <v>81805529</v>
      </c>
      <c r="E38" s="52" t="n">
        <v>67867716</v>
      </c>
      <c r="F38" s="52" t="n">
        <v>63729922</v>
      </c>
      <c r="G38" s="52" t="n">
        <v>61277128</v>
      </c>
      <c r="H38" s="52" t="n">
        <v>-11700</v>
      </c>
      <c r="I38" s="52" t="n">
        <v>-22600</v>
      </c>
      <c r="J38" s="52" t="n">
        <v>0</v>
      </c>
      <c r="K38" s="52" t="n">
        <v>0</v>
      </c>
      <c r="L38" s="52" t="n">
        <v>0</v>
      </c>
      <c r="M38" s="46" t="n">
        <f aca="false">SUM(D38:L38)</f>
        <v>274645995</v>
      </c>
      <c r="N38" s="20" t="n">
        <f aca="false">IF(D38=0,"",E38/D38-1)</f>
        <v>-0.170377395884818</v>
      </c>
      <c r="O38" s="20" t="n">
        <f aca="false">IF(E38=0,"",F38/E38-1)</f>
        <v>-0.0609685170486657</v>
      </c>
      <c r="P38" s="20" t="n">
        <f aca="false">IF(F38=0,"",G38/F38-1)</f>
        <v>-0.0384873215441877</v>
      </c>
      <c r="Q38" s="20" t="n">
        <f aca="false">IF(G38=0,"",H38/G38-1)</f>
        <v>-1.00019093584151</v>
      </c>
      <c r="R38" s="20" t="n">
        <f aca="false">IF(H38=0,"",I38/H38-1)</f>
        <v>0.931623931623932</v>
      </c>
      <c r="S38" s="20" t="n">
        <f aca="false">IF(I38=0,"",J38/I38-1)</f>
        <v>-1</v>
      </c>
      <c r="T38" s="20" t="str">
        <f aca="false">IF(J38=0,"",K38/J38-1)</f>
        <v/>
      </c>
      <c r="U38" s="20" t="str">
        <f aca="false">IF(K38=0,"",L38/K38-1)</f>
        <v/>
      </c>
    </row>
    <row r="39" customFormat="false" ht="15" hidden="false" customHeight="false" outlineLevel="0" collapsed="false">
      <c r="A39" s="19" t="s">
        <v>181</v>
      </c>
      <c r="B39" s="22" t="s">
        <v>233</v>
      </c>
      <c r="C39" s="19" t="s">
        <v>234</v>
      </c>
      <c r="D39" s="52" t="n">
        <v>121932830</v>
      </c>
      <c r="E39" s="52" t="n">
        <v>110585275</v>
      </c>
      <c r="F39" s="52" t="n">
        <v>129585815</v>
      </c>
      <c r="G39" s="52" t="n">
        <v>117859530</v>
      </c>
      <c r="H39" s="52" t="n">
        <v>118103235</v>
      </c>
      <c r="I39" s="52" t="n">
        <v>119075015</v>
      </c>
      <c r="J39" s="52" t="n">
        <v>127463125</v>
      </c>
      <c r="K39" s="52" t="n">
        <v>130424020</v>
      </c>
      <c r="L39" s="52" t="n">
        <v>121069235</v>
      </c>
      <c r="M39" s="46" t="n">
        <f aca="false">SUM(D39:L39)</f>
        <v>1096098080</v>
      </c>
      <c r="N39" s="20" t="n">
        <f aca="false">IF(D39=0,"",E39/D39-1)</f>
        <v>-0.0930639844904773</v>
      </c>
      <c r="O39" s="20" t="n">
        <f aca="false">IF(E39=0,"",F39/E39-1)</f>
        <v>0.171817992947072</v>
      </c>
      <c r="P39" s="20" t="n">
        <f aca="false">IF(F39=0,"",G39/F39-1)</f>
        <v>-0.0904904985163693</v>
      </c>
      <c r="Q39" s="20" t="n">
        <f aca="false">IF(G39=0,"",H39/G39-1)</f>
        <v>0.00206775811849913</v>
      </c>
      <c r="R39" s="20" t="n">
        <f aca="false">IF(H39=0,"",I39/H39-1)</f>
        <v>0.00822822507783116</v>
      </c>
      <c r="S39" s="20" t="n">
        <f aca="false">IF(I39=0,"",J39/I39-1)</f>
        <v>0.0704439130240715</v>
      </c>
      <c r="T39" s="20" t="n">
        <f aca="false">IF(J39=0,"",K39/J39-1)</f>
        <v>0.0232294241962137</v>
      </c>
      <c r="U39" s="20" t="n">
        <f aca="false">IF(K39=0,"",L39/K39-1)</f>
        <v>-0.0717259366794553</v>
      </c>
    </row>
    <row r="40" customFormat="false" ht="15" hidden="false" customHeight="false" outlineLevel="0" collapsed="false">
      <c r="A40" s="19" t="s">
        <v>181</v>
      </c>
      <c r="B40" s="22" t="s">
        <v>243</v>
      </c>
      <c r="C40" s="19" t="s">
        <v>244</v>
      </c>
      <c r="D40" s="52" t="n">
        <v>79929264</v>
      </c>
      <c r="E40" s="52" t="n">
        <v>86523840</v>
      </c>
      <c r="F40" s="52" t="n">
        <v>93198194</v>
      </c>
      <c r="G40" s="52" t="n">
        <v>114477823</v>
      </c>
      <c r="H40" s="52" t="n">
        <v>161715110</v>
      </c>
      <c r="I40" s="52" t="n">
        <v>155993793</v>
      </c>
      <c r="J40" s="52" t="n">
        <v>155739595</v>
      </c>
      <c r="K40" s="52" t="n">
        <v>133231088</v>
      </c>
      <c r="L40" s="52" t="n">
        <v>76998879</v>
      </c>
      <c r="M40" s="46" t="n">
        <f aca="false">SUM(D40:L40)</f>
        <v>1057807586</v>
      </c>
      <c r="N40" s="20" t="n">
        <f aca="false">IF(D40=0,"",E40/D40-1)</f>
        <v>0.0825051510545625</v>
      </c>
      <c r="O40" s="20" t="n">
        <f aca="false">IF(E40=0,"",F40/E40-1)</f>
        <v>0.0771389018332982</v>
      </c>
      <c r="P40" s="20" t="n">
        <f aca="false">IF(F40=0,"",G40/F40-1)</f>
        <v>0.22832662401162</v>
      </c>
      <c r="Q40" s="20" t="n">
        <f aca="false">IF(G40=0,"",H40/G40-1)</f>
        <v>0.412632645888104</v>
      </c>
      <c r="R40" s="20" t="n">
        <f aca="false">IF(H40=0,"",I40/H40-1)</f>
        <v>-0.0353789883950857</v>
      </c>
      <c r="S40" s="20" t="n">
        <f aca="false">IF(I40=0,"",J40/I40-1)</f>
        <v>-0.00162953919583198</v>
      </c>
      <c r="T40" s="20" t="n">
        <f aca="false">IF(J40=0,"",K40/J40-1)</f>
        <v>-0.144526554085363</v>
      </c>
      <c r="U40" s="20" t="n">
        <f aca="false">IF(K40=0,"",L40/K40-1)</f>
        <v>-0.422065223996369</v>
      </c>
    </row>
    <row r="41" customFormat="false" ht="15" hidden="false" customHeight="false" outlineLevel="0" collapsed="false">
      <c r="A41" s="19" t="s">
        <v>181</v>
      </c>
      <c r="B41" s="22" t="s">
        <v>379</v>
      </c>
      <c r="C41" s="19" t="s">
        <v>380</v>
      </c>
      <c r="D41" s="52" t="n">
        <v>61186680</v>
      </c>
      <c r="E41" s="52" t="n">
        <v>52452110</v>
      </c>
      <c r="F41" s="52" t="n">
        <v>48430958</v>
      </c>
      <c r="G41" s="52" t="n">
        <v>47897680</v>
      </c>
      <c r="H41" s="52" t="n">
        <v>48684996</v>
      </c>
      <c r="I41" s="52" t="n">
        <v>111213410</v>
      </c>
      <c r="J41" s="52" t="n">
        <v>0</v>
      </c>
      <c r="K41" s="52" t="n">
        <v>0</v>
      </c>
      <c r="L41" s="52" t="n">
        <v>0</v>
      </c>
      <c r="M41" s="46" t="n">
        <f aca="false">SUM(D41:L41)</f>
        <v>369865834</v>
      </c>
      <c r="N41" s="20" t="n">
        <f aca="false">IF(D41=0,"",E41/D41-1)</f>
        <v>-0.142752801753584</v>
      </c>
      <c r="O41" s="20" t="n">
        <f aca="false">IF(E41=0,"",F41/E41-1)</f>
        <v>-0.076663302963408</v>
      </c>
      <c r="P41" s="20" t="n">
        <f aca="false">IF(F41=0,"",G41/F41-1)</f>
        <v>-0.0110110974885114</v>
      </c>
      <c r="Q41" s="20" t="n">
        <f aca="false">IF(G41=0,"",H41/G41-1)</f>
        <v>0.0164374558433729</v>
      </c>
      <c r="R41" s="20" t="n">
        <f aca="false">IF(H41=0,"",I41/H41-1)</f>
        <v>1.2843467009836</v>
      </c>
      <c r="S41" s="20" t="n">
        <f aca="false">IF(I41=0,"",J41/I41-1)</f>
        <v>-1</v>
      </c>
      <c r="T41" s="20" t="str">
        <f aca="false">IF(J41=0,"",K41/J41-1)</f>
        <v/>
      </c>
      <c r="U41" s="20" t="str">
        <f aca="false">IF(K41=0,"",L41/K41-1)</f>
        <v/>
      </c>
    </row>
    <row r="42" customFormat="false" ht="15" hidden="false" customHeight="false" outlineLevel="0" collapsed="false">
      <c r="A42" s="19" t="s">
        <v>181</v>
      </c>
      <c r="B42" s="22" t="s">
        <v>278</v>
      </c>
      <c r="C42" s="19" t="s">
        <v>279</v>
      </c>
      <c r="D42" s="52" t="n">
        <v>431896153</v>
      </c>
      <c r="E42" s="52" t="n">
        <v>348975237</v>
      </c>
      <c r="F42" s="52" t="n">
        <v>310047278</v>
      </c>
      <c r="G42" s="52" t="n">
        <v>254035954</v>
      </c>
      <c r="H42" s="52" t="n">
        <v>203544927</v>
      </c>
      <c r="I42" s="52" t="n">
        <v>125707708</v>
      </c>
      <c r="J42" s="52" t="n">
        <v>94371525</v>
      </c>
      <c r="K42" s="52" t="n">
        <v>74705112</v>
      </c>
      <c r="L42" s="52" t="n">
        <v>41324209</v>
      </c>
      <c r="M42" s="46" t="n">
        <f aca="false">SUM(D42:L42)</f>
        <v>1884608103</v>
      </c>
      <c r="N42" s="20" t="n">
        <f aca="false">IF(D42=0,"",E42/D42-1)</f>
        <v>-0.19199271728637</v>
      </c>
      <c r="O42" s="20" t="n">
        <f aca="false">IF(E42=0,"",F42/E42-1)</f>
        <v>-0.11154934468889</v>
      </c>
      <c r="P42" s="20" t="n">
        <f aca="false">IF(F42=0,"",G42/F42-1)</f>
        <v>-0.180654138818145</v>
      </c>
      <c r="Q42" s="20" t="n">
        <f aca="false">IF(G42=0,"",H42/G42-1)</f>
        <v>-0.198755436799312</v>
      </c>
      <c r="R42" s="20" t="n">
        <f aca="false">IF(H42=0,"",I42/H42-1)</f>
        <v>-0.382408051859725</v>
      </c>
      <c r="S42" s="20" t="n">
        <f aca="false">IF(I42=0,"",J42/I42-1)</f>
        <v>-0.249278134957325</v>
      </c>
      <c r="T42" s="20" t="n">
        <f aca="false">IF(J42=0,"",K42/J42-1)</f>
        <v>-0.208393506409905</v>
      </c>
      <c r="U42" s="20" t="n">
        <f aca="false">IF(K42=0,"",L42/K42-1)</f>
        <v>-0.446835592723561</v>
      </c>
    </row>
    <row r="43" customFormat="false" ht="15" hidden="false" customHeight="false" outlineLevel="0" collapsed="false">
      <c r="A43" s="19" t="s">
        <v>181</v>
      </c>
      <c r="B43" s="22" t="s">
        <v>204</v>
      </c>
      <c r="C43" s="19" t="s">
        <v>205</v>
      </c>
      <c r="D43" s="52" t="n">
        <v>351328322</v>
      </c>
      <c r="E43" s="52" t="n">
        <v>314427700</v>
      </c>
      <c r="F43" s="52" t="n">
        <v>356213138</v>
      </c>
      <c r="G43" s="52" t="n">
        <v>360451742</v>
      </c>
      <c r="H43" s="52" t="n">
        <v>392658656</v>
      </c>
      <c r="I43" s="52" t="n">
        <v>377877131</v>
      </c>
      <c r="J43" s="52" t="n">
        <v>402523621</v>
      </c>
      <c r="K43" s="52" t="n">
        <v>402394819</v>
      </c>
      <c r="L43" s="52" t="n">
        <v>357564124</v>
      </c>
      <c r="M43" s="46" t="n">
        <f aca="false">SUM(D43:L43)</f>
        <v>3315439253</v>
      </c>
      <c r="N43" s="20" t="n">
        <f aca="false">IF(D43=0,"",E43/D43-1)</f>
        <v>-0.105031731543693</v>
      </c>
      <c r="O43" s="20" t="n">
        <f aca="false">IF(E43=0,"",F43/E43-1)</f>
        <v>0.132893628646586</v>
      </c>
      <c r="P43" s="20" t="n">
        <f aca="false">IF(F43=0,"",G43/F43-1)</f>
        <v>0.0118990670130759</v>
      </c>
      <c r="Q43" s="20" t="n">
        <f aca="false">IF(G43=0,"",H43/G43-1)</f>
        <v>0.0893515282275983</v>
      </c>
      <c r="R43" s="20" t="n">
        <f aca="false">IF(H43=0,"",I43/H43-1)</f>
        <v>-0.037644719590748</v>
      </c>
      <c r="S43" s="20" t="n">
        <f aca="false">IF(I43=0,"",J43/I43-1)</f>
        <v>0.0652235554313023</v>
      </c>
      <c r="T43" s="20" t="n">
        <f aca="false">IF(J43=0,"",K43/J43-1)</f>
        <v>-0.000319986190325916</v>
      </c>
      <c r="U43" s="20" t="n">
        <f aca="false">IF(K43=0,"",L43/K43-1)</f>
        <v>-0.111409722201219</v>
      </c>
    </row>
    <row r="44" customFormat="false" ht="15" hidden="false" customHeight="false" outlineLevel="0" collapsed="false">
      <c r="A44" s="19" t="s">
        <v>181</v>
      </c>
      <c r="B44" s="22" t="s">
        <v>210</v>
      </c>
      <c r="C44" s="19" t="s">
        <v>211</v>
      </c>
      <c r="D44" s="52" t="n">
        <v>283352833</v>
      </c>
      <c r="E44" s="52" t="n">
        <v>252701550</v>
      </c>
      <c r="F44" s="52" t="n">
        <v>276435875</v>
      </c>
      <c r="G44" s="52" t="n">
        <v>294317858</v>
      </c>
      <c r="H44" s="52" t="n">
        <v>302797299</v>
      </c>
      <c r="I44" s="52" t="n">
        <v>316757523</v>
      </c>
      <c r="J44" s="52" t="n">
        <v>312463403</v>
      </c>
      <c r="K44" s="52" t="n">
        <v>300049383</v>
      </c>
      <c r="L44" s="52" t="n">
        <v>287180887</v>
      </c>
      <c r="M44" s="46" t="n">
        <f aca="false">SUM(D44:L44)</f>
        <v>2626056611</v>
      </c>
      <c r="N44" s="20" t="n">
        <f aca="false">IF(D44=0,"",E44/D44-1)</f>
        <v>-0.108173554065013</v>
      </c>
      <c r="O44" s="20" t="n">
        <f aca="false">IF(E44=0,"",F44/E44-1)</f>
        <v>0.0939223562340634</v>
      </c>
      <c r="P44" s="20" t="n">
        <f aca="false">IF(F44=0,"",G44/F44-1)</f>
        <v>0.0646876350618384</v>
      </c>
      <c r="Q44" s="20" t="n">
        <f aca="false">IF(G44=0,"",H44/G44-1)</f>
        <v>0.0288104876055466</v>
      </c>
      <c r="R44" s="20" t="n">
        <f aca="false">IF(H44=0,"",I44/H44-1)</f>
        <v>0.0461041893243572</v>
      </c>
      <c r="S44" s="20" t="n">
        <f aca="false">IF(I44=0,"",J44/I44-1)</f>
        <v>-0.0135564893907824</v>
      </c>
      <c r="T44" s="20" t="n">
        <f aca="false">IF(J44=0,"",K44/J44-1)</f>
        <v>-0.0397295167395971</v>
      </c>
      <c r="U44" s="20" t="n">
        <f aca="false">IF(K44=0,"",L44/K44-1)</f>
        <v>-0.0428879268850221</v>
      </c>
    </row>
    <row r="45" customFormat="false" ht="15" hidden="false" customHeight="false" outlineLevel="0" collapsed="false">
      <c r="A45" s="19" t="s">
        <v>181</v>
      </c>
      <c r="B45" s="22" t="s">
        <v>381</v>
      </c>
      <c r="C45" s="19" t="s">
        <v>382</v>
      </c>
      <c r="D45" s="52" t="n">
        <v>80647981</v>
      </c>
      <c r="E45" s="52" t="n">
        <v>72621597</v>
      </c>
      <c r="F45" s="52" t="n">
        <v>70002581</v>
      </c>
      <c r="G45" s="52" t="n">
        <v>72275921</v>
      </c>
      <c r="H45" s="52" t="n">
        <v>117304706</v>
      </c>
      <c r="I45" s="52" t="n">
        <v>0</v>
      </c>
      <c r="J45" s="52" t="n">
        <v>0</v>
      </c>
      <c r="K45" s="52" t="n">
        <v>0</v>
      </c>
      <c r="L45" s="52" t="n">
        <v>0</v>
      </c>
      <c r="M45" s="46" t="n">
        <f aca="false">SUM(D45:L45)</f>
        <v>412852786</v>
      </c>
      <c r="N45" s="20" t="n">
        <f aca="false">IF(D45=0,"",E45/D45-1)</f>
        <v>-0.0995236818141796</v>
      </c>
      <c r="O45" s="20" t="n">
        <f aca="false">IF(E45=0,"",F45/E45-1)</f>
        <v>-0.036063872294078</v>
      </c>
      <c r="P45" s="20" t="n">
        <f aca="false">IF(F45=0,"",G45/F45-1)</f>
        <v>0.0324750883113867</v>
      </c>
      <c r="Q45" s="20" t="n">
        <f aca="false">IF(G45=0,"",H45/G45-1)</f>
        <v>0.623012261580174</v>
      </c>
      <c r="R45" s="20" t="n">
        <f aca="false">IF(H45=0,"",I45/H45-1)</f>
        <v>-1</v>
      </c>
      <c r="S45" s="20" t="str">
        <f aca="false">IF(I45=0,"",J45/I45-1)</f>
        <v/>
      </c>
      <c r="T45" s="20" t="str">
        <f aca="false">IF(J45=0,"",K45/J45-1)</f>
        <v/>
      </c>
      <c r="U45" s="20" t="str">
        <f aca="false">IF(K45=0,"",L45/K45-1)</f>
        <v/>
      </c>
    </row>
    <row r="46" customFormat="false" ht="15" hidden="false" customHeight="false" outlineLevel="0" collapsed="false">
      <c r="A46" s="19" t="s">
        <v>181</v>
      </c>
      <c r="B46" s="22" t="s">
        <v>228</v>
      </c>
      <c r="C46" s="19" t="s">
        <v>229</v>
      </c>
      <c r="D46" s="52" t="n">
        <v>183480170</v>
      </c>
      <c r="E46" s="52" t="n">
        <v>157653380</v>
      </c>
      <c r="F46" s="52" t="n">
        <v>174417208</v>
      </c>
      <c r="G46" s="52" t="n">
        <v>165749050</v>
      </c>
      <c r="H46" s="52" t="n">
        <v>165879820</v>
      </c>
      <c r="I46" s="52" t="n">
        <v>157701215</v>
      </c>
      <c r="J46" s="52" t="n">
        <v>157805720</v>
      </c>
      <c r="K46" s="52" t="n">
        <v>152915964</v>
      </c>
      <c r="L46" s="52" t="n">
        <v>128474090</v>
      </c>
      <c r="M46" s="46" t="n">
        <f aca="false">SUM(D46:L46)</f>
        <v>1444076617</v>
      </c>
      <c r="N46" s="20" t="n">
        <f aca="false">IF(D46=0,"",E46/D46-1)</f>
        <v>-0.14076066094772</v>
      </c>
      <c r="O46" s="20" t="n">
        <f aca="false">IF(E46=0,"",F46/E46-1)</f>
        <v>0.10633345127139</v>
      </c>
      <c r="P46" s="20" t="n">
        <f aca="false">IF(F46=0,"",G46/F46-1)</f>
        <v>-0.0496978371537744</v>
      </c>
      <c r="Q46" s="20" t="n">
        <f aca="false">IF(G46=0,"",H46/G46-1)</f>
        <v>0.000788963797982545</v>
      </c>
      <c r="R46" s="20" t="n">
        <f aca="false">IF(H46=0,"",I46/H46-1)</f>
        <v>-0.0493044000168315</v>
      </c>
      <c r="S46" s="20" t="n">
        <f aca="false">IF(I46=0,"",J46/I46-1)</f>
        <v>0.000662677202582174</v>
      </c>
      <c r="T46" s="20" t="n">
        <f aca="false">IF(J46=0,"",K46/J46-1)</f>
        <v>-0.0309859237041598</v>
      </c>
      <c r="U46" s="20" t="n">
        <f aca="false">IF(K46=0,"",L46/K46-1)</f>
        <v>-0.159838602593513</v>
      </c>
    </row>
    <row r="47" customFormat="false" ht="15" hidden="false" customHeight="false" outlineLevel="0" collapsed="false">
      <c r="A47" s="19" t="s">
        <v>181</v>
      </c>
      <c r="B47" s="22" t="s">
        <v>416</v>
      </c>
      <c r="C47" s="19" t="s">
        <v>417</v>
      </c>
      <c r="D47" s="52" t="n">
        <v>39470461</v>
      </c>
      <c r="E47" s="52" t="n">
        <v>33012523</v>
      </c>
      <c r="F47" s="52" t="n">
        <v>63452344</v>
      </c>
      <c r="G47" s="52" t="n">
        <v>66560303</v>
      </c>
      <c r="H47" s="52" t="n">
        <v>65512452</v>
      </c>
      <c r="I47" s="52" t="n">
        <v>100006717</v>
      </c>
      <c r="J47" s="52" t="n">
        <v>85408790</v>
      </c>
      <c r="K47" s="52" t="n">
        <v>87016518</v>
      </c>
      <c r="L47" s="52" t="n">
        <v>8477431</v>
      </c>
      <c r="M47" s="46" t="n">
        <f aca="false">SUM(D47:L47)</f>
        <v>548917539</v>
      </c>
      <c r="N47" s="20" t="n">
        <f aca="false">IF(D47=0,"",E47/D47-1)</f>
        <v>-0.163614455883857</v>
      </c>
      <c r="O47" s="20" t="n">
        <f aca="false">IF(E47=0,"",F47/E47-1)</f>
        <v>0.922068907002352</v>
      </c>
      <c r="P47" s="20" t="n">
        <f aca="false">IF(F47=0,"",G47/F47-1)</f>
        <v>0.0489809958793641</v>
      </c>
      <c r="Q47" s="20" t="n">
        <f aca="false">IF(G47=0,"",H47/G47-1)</f>
        <v>-0.0157428820598968</v>
      </c>
      <c r="R47" s="20" t="n">
        <f aca="false">IF(H47=0,"",I47/H47-1)</f>
        <v>0.52652990304805</v>
      </c>
      <c r="S47" s="20" t="n">
        <f aca="false">IF(I47=0,"",J47/I47-1)</f>
        <v>-0.14596946523102</v>
      </c>
      <c r="T47" s="20" t="n">
        <f aca="false">IF(J47=0,"",K47/J47-1)</f>
        <v>0.0188239173040621</v>
      </c>
      <c r="U47" s="20" t="n">
        <f aca="false">IF(K47=0,"",L47/K47-1)</f>
        <v>-0.902576761345472</v>
      </c>
    </row>
    <row r="48" customFormat="false" ht="15" hidden="false" customHeight="false" outlineLevel="0" collapsed="false">
      <c r="A48" s="19" t="s">
        <v>181</v>
      </c>
      <c r="B48" s="22" t="s">
        <v>316</v>
      </c>
      <c r="C48" s="19" t="s">
        <v>317</v>
      </c>
      <c r="D48" s="52" t="n">
        <v>10463880</v>
      </c>
      <c r="E48" s="52" t="n">
        <v>10737970</v>
      </c>
      <c r="F48" s="52" t="n">
        <v>10342849</v>
      </c>
      <c r="G48" s="52" t="n">
        <v>12140328</v>
      </c>
      <c r="H48" s="52" t="n">
        <v>10619154</v>
      </c>
      <c r="I48" s="52" t="n">
        <v>11655622</v>
      </c>
      <c r="J48" s="52" t="n">
        <v>12310372</v>
      </c>
      <c r="K48" s="52" t="n">
        <v>12761052</v>
      </c>
      <c r="L48" s="52" t="n">
        <v>10009025</v>
      </c>
      <c r="M48" s="46" t="n">
        <f aca="false">SUM(D48:L48)</f>
        <v>101040252</v>
      </c>
      <c r="N48" s="20" t="n">
        <f aca="false">IF(D48=0,"",E48/D48-1)</f>
        <v>0.026193916596903</v>
      </c>
      <c r="O48" s="20" t="n">
        <f aca="false">IF(E48=0,"",F48/E48-1)</f>
        <v>-0.036796619845278</v>
      </c>
      <c r="P48" s="20" t="n">
        <f aca="false">IF(F48=0,"",G48/F48-1)</f>
        <v>0.173789542900607</v>
      </c>
      <c r="Q48" s="20" t="n">
        <f aca="false">IF(G48=0,"",H48/G48-1)</f>
        <v>-0.125299250563906</v>
      </c>
      <c r="R48" s="20" t="n">
        <f aca="false">IF(H48=0,"",I48/H48-1)</f>
        <v>0.0976036320784124</v>
      </c>
      <c r="S48" s="20" t="n">
        <f aca="false">IF(I48=0,"",J48/I48-1)</f>
        <v>0.0561746082705839</v>
      </c>
      <c r="T48" s="20" t="n">
        <f aca="false">IF(J48=0,"",K48/J48-1)</f>
        <v>0.0366097791358377</v>
      </c>
      <c r="U48" s="20" t="n">
        <f aca="false">IF(K48=0,"",L48/K48-1)</f>
        <v>-0.2156583171983</v>
      </c>
    </row>
    <row r="49" customFormat="false" ht="15" hidden="false" customHeight="false" outlineLevel="0" collapsed="false">
      <c r="A49" s="19" t="s">
        <v>181</v>
      </c>
      <c r="B49" s="22" t="s">
        <v>258</v>
      </c>
      <c r="C49" s="19" t="s">
        <v>259</v>
      </c>
      <c r="D49" s="52" t="n">
        <v>55455219</v>
      </c>
      <c r="E49" s="52" t="n">
        <v>37084787</v>
      </c>
      <c r="F49" s="52" t="n">
        <v>67427035</v>
      </c>
      <c r="G49" s="52" t="n">
        <v>68787638</v>
      </c>
      <c r="H49" s="52" t="n">
        <v>63701719</v>
      </c>
      <c r="I49" s="52" t="n">
        <v>53344957</v>
      </c>
      <c r="J49" s="52" t="n">
        <v>56238949</v>
      </c>
      <c r="K49" s="52" t="n">
        <v>47878345</v>
      </c>
      <c r="L49" s="52" t="n">
        <v>53945334</v>
      </c>
      <c r="M49" s="46" t="n">
        <f aca="false">SUM(D49:L49)</f>
        <v>503863983</v>
      </c>
      <c r="N49" s="20" t="n">
        <f aca="false">IF(D49=0,"",E49/D49-1)</f>
        <v>-0.3312660617209</v>
      </c>
      <c r="O49" s="20" t="n">
        <f aca="false">IF(E49=0,"",F49/E49-1)</f>
        <v>0.818185850710158</v>
      </c>
      <c r="P49" s="20" t="n">
        <f aca="false">IF(F49=0,"",G49/F49-1)</f>
        <v>0.0201788941186574</v>
      </c>
      <c r="Q49" s="20" t="n">
        <f aca="false">IF(G49=0,"",H49/G49-1)</f>
        <v>-0.073936526211294</v>
      </c>
      <c r="R49" s="20" t="n">
        <f aca="false">IF(H49=0,"",I49/H49-1)</f>
        <v>-0.162582143191458</v>
      </c>
      <c r="S49" s="20" t="n">
        <f aca="false">IF(I49=0,"",J49/I49-1)</f>
        <v>0.0542505264368289</v>
      </c>
      <c r="T49" s="20" t="n">
        <f aca="false">IF(J49=0,"",K49/J49-1)</f>
        <v>-0.148662166499591</v>
      </c>
      <c r="U49" s="20" t="n">
        <f aca="false">IF(K49=0,"",L49/K49-1)</f>
        <v>0.126716765168053</v>
      </c>
    </row>
    <row r="50" customFormat="false" ht="15" hidden="false" customHeight="false" outlineLevel="0" collapsed="false">
      <c r="A50" s="19" t="s">
        <v>181</v>
      </c>
      <c r="B50" s="22" t="s">
        <v>383</v>
      </c>
      <c r="C50" s="19" t="s">
        <v>384</v>
      </c>
      <c r="D50" s="52" t="n">
        <v>42627072</v>
      </c>
      <c r="E50" s="52" t="n">
        <v>40382080</v>
      </c>
      <c r="F50" s="52" t="n">
        <v>49285825</v>
      </c>
      <c r="G50" s="52" t="n">
        <v>55493697</v>
      </c>
      <c r="H50" s="52" t="n">
        <v>85492179</v>
      </c>
      <c r="I50" s="52" t="n">
        <v>69350233</v>
      </c>
      <c r="J50" s="52" t="n">
        <v>50481188</v>
      </c>
      <c r="K50" s="52" t="n">
        <v>0</v>
      </c>
      <c r="L50" s="52" t="n">
        <v>0</v>
      </c>
      <c r="M50" s="46" t="n">
        <f aca="false">SUM(D50:L50)</f>
        <v>393112274</v>
      </c>
      <c r="N50" s="20" t="n">
        <f aca="false">IF(D50=0,"",E50/D50-1)</f>
        <v>-0.052665873931008</v>
      </c>
      <c r="O50" s="20" t="n">
        <f aca="false">IF(E50=0,"",F50/E50-1)</f>
        <v>0.22048752813129</v>
      </c>
      <c r="P50" s="20" t="n">
        <f aca="false">IF(F50=0,"",G50/F50-1)</f>
        <v>0.125956540242554</v>
      </c>
      <c r="Q50" s="20" t="n">
        <f aca="false">IF(G50=0,"",H50/G50-1)</f>
        <v>0.540574580929434</v>
      </c>
      <c r="R50" s="20" t="n">
        <f aca="false">IF(H50=0,"",I50/H50-1)</f>
        <v>-0.18881196138421</v>
      </c>
      <c r="S50" s="20" t="n">
        <f aca="false">IF(I50=0,"",J50/I50-1)</f>
        <v>-0.272083368487024</v>
      </c>
      <c r="T50" s="20" t="n">
        <f aca="false">IF(J50=0,"",K50/J50-1)</f>
        <v>-1</v>
      </c>
      <c r="U50" s="20" t="str">
        <f aca="false">IF(K50=0,"",L50/K50-1)</f>
        <v/>
      </c>
    </row>
    <row r="51" customFormat="false" ht="15" hidden="false" customHeight="false" outlineLevel="0" collapsed="false">
      <c r="A51" s="19" t="s">
        <v>181</v>
      </c>
      <c r="B51" s="22" t="s">
        <v>187</v>
      </c>
      <c r="C51" s="19" t="s">
        <v>72</v>
      </c>
      <c r="D51" s="52" t="n">
        <v>1583264040</v>
      </c>
      <c r="E51" s="52" t="n">
        <v>1274558150</v>
      </c>
      <c r="F51" s="52" t="n">
        <v>896773325</v>
      </c>
      <c r="G51" s="52" t="n">
        <v>1525709039</v>
      </c>
      <c r="H51" s="52" t="n">
        <v>1325243130</v>
      </c>
      <c r="I51" s="52" t="n">
        <v>1376600240</v>
      </c>
      <c r="J51" s="52" t="n">
        <v>1522928524</v>
      </c>
      <c r="K51" s="52" t="n">
        <v>1303561540</v>
      </c>
      <c r="L51" s="52" t="n">
        <v>1095470420</v>
      </c>
      <c r="M51" s="46" t="n">
        <f aca="false">SUM(D51:L51)</f>
        <v>11904108408</v>
      </c>
      <c r="N51" s="20" t="n">
        <f aca="false">IF(D51=0,"",E51/D51-1)</f>
        <v>-0.194980674227907</v>
      </c>
      <c r="O51" s="20" t="n">
        <f aca="false">IF(E51=0,"",F51/E51-1)</f>
        <v>-0.29640454223293</v>
      </c>
      <c r="P51" s="20" t="n">
        <f aca="false">IF(F51=0,"",G51/F51-1)</f>
        <v>0.70133187112808</v>
      </c>
      <c r="Q51" s="20" t="n">
        <f aca="false">IF(G51=0,"",H51/G51-1)</f>
        <v>-0.131391965227782</v>
      </c>
      <c r="R51" s="20" t="n">
        <f aca="false">IF(H51=0,"",I51/H51-1)</f>
        <v>0.0387529720678499</v>
      </c>
      <c r="S51" s="20" t="n">
        <f aca="false">IF(I51=0,"",J51/I51-1)</f>
        <v>0.106296860735692</v>
      </c>
      <c r="T51" s="20" t="n">
        <f aca="false">IF(J51=0,"",K51/J51-1)</f>
        <v>-0.144042862513225</v>
      </c>
      <c r="U51" s="20" t="n">
        <f aca="false">IF(K51=0,"",L51/K51-1)</f>
        <v>-0.159632755044307</v>
      </c>
    </row>
    <row r="52" customFormat="false" ht="15" hidden="false" customHeight="false" outlineLevel="0" collapsed="false">
      <c r="A52" s="19" t="s">
        <v>181</v>
      </c>
      <c r="B52" s="22" t="s">
        <v>336</v>
      </c>
      <c r="C52" s="19" t="s">
        <v>337</v>
      </c>
      <c r="D52" s="52" t="n">
        <v>11640774</v>
      </c>
      <c r="E52" s="52" t="n">
        <v>10915974</v>
      </c>
      <c r="F52" s="52" t="n">
        <v>9798742</v>
      </c>
      <c r="G52" s="52" t="n">
        <v>8856280</v>
      </c>
      <c r="H52" s="52" t="n">
        <v>9133602</v>
      </c>
      <c r="I52" s="52" t="n">
        <v>7031192</v>
      </c>
      <c r="J52" s="52" t="n">
        <v>5125224</v>
      </c>
      <c r="K52" s="52" t="n">
        <v>4187068</v>
      </c>
      <c r="L52" s="52" t="n">
        <v>2931829</v>
      </c>
      <c r="M52" s="46" t="n">
        <f aca="false">SUM(D52:L52)</f>
        <v>69620685</v>
      </c>
      <c r="N52" s="20" t="n">
        <f aca="false">IF(D52=0,"",E52/D52-1)</f>
        <v>-0.0622639010086443</v>
      </c>
      <c r="O52" s="20" t="n">
        <f aca="false">IF(E52=0,"",F52/E52-1)</f>
        <v>-0.102348356637713</v>
      </c>
      <c r="P52" s="20" t="n">
        <f aca="false">IF(F52=0,"",G52/F52-1)</f>
        <v>-0.0961819384569979</v>
      </c>
      <c r="Q52" s="20" t="n">
        <f aca="false">IF(G52=0,"",H52/G52-1)</f>
        <v>0.0313135989377029</v>
      </c>
      <c r="R52" s="20" t="n">
        <f aca="false">IF(H52=0,"",I52/H52-1)</f>
        <v>-0.230184104803341</v>
      </c>
      <c r="S52" s="20" t="n">
        <f aca="false">IF(I52=0,"",J52/I52-1)</f>
        <v>-0.271073240497486</v>
      </c>
      <c r="T52" s="20" t="n">
        <f aca="false">IF(J52=0,"",K52/J52-1)</f>
        <v>-0.183046828782508</v>
      </c>
      <c r="U52" s="20" t="n">
        <f aca="false">IF(K52=0,"",L52/K52-1)</f>
        <v>-0.299789494701304</v>
      </c>
    </row>
    <row r="53" customFormat="false" ht="15" hidden="false" customHeight="false" outlineLevel="0" collapsed="false">
      <c r="A53" s="19" t="s">
        <v>181</v>
      </c>
      <c r="B53" s="22" t="s">
        <v>385</v>
      </c>
      <c r="C53" s="19" t="s">
        <v>386</v>
      </c>
      <c r="D53" s="52" t="n">
        <v>2044010</v>
      </c>
      <c r="E53" s="52" t="n">
        <v>3141900</v>
      </c>
      <c r="F53" s="52" t="n">
        <v>2290000</v>
      </c>
      <c r="G53" s="52" t="n">
        <v>197600</v>
      </c>
      <c r="H53" s="52" t="n">
        <v>0</v>
      </c>
      <c r="I53" s="52" t="n">
        <v>1594800</v>
      </c>
      <c r="J53" s="52" t="n">
        <v>0</v>
      </c>
      <c r="K53" s="52" t="n">
        <v>0</v>
      </c>
      <c r="L53" s="52" t="n">
        <v>0</v>
      </c>
      <c r="M53" s="46" t="n">
        <f aca="false">SUM(D53:L53)</f>
        <v>9268310</v>
      </c>
      <c r="N53" s="20" t="n">
        <f aca="false">IF(D53=0,"",E53/D53-1)</f>
        <v>0.537125552223326</v>
      </c>
      <c r="O53" s="20" t="n">
        <f aca="false">IF(E53=0,"",F53/E53-1)</f>
        <v>-0.27114166587097</v>
      </c>
      <c r="P53" s="20" t="n">
        <f aca="false">IF(F53=0,"",G53/F53-1)</f>
        <v>-0.913711790393013</v>
      </c>
      <c r="Q53" s="20" t="n">
        <f aca="false">IF(G53=0,"",H53/G53-1)</f>
        <v>-1</v>
      </c>
      <c r="R53" s="20" t="str">
        <f aca="false">IF(H53=0,"",I53/H53-1)</f>
        <v/>
      </c>
      <c r="S53" s="20" t="n">
        <f aca="false">IF(I53=0,"",J53/I53-1)</f>
        <v>-1</v>
      </c>
      <c r="T53" s="20" t="str">
        <f aca="false">IF(J53=0,"",K53/J53-1)</f>
        <v/>
      </c>
      <c r="U53" s="20" t="str">
        <f aca="false">IF(K53=0,"",L53/K53-1)</f>
        <v/>
      </c>
    </row>
    <row r="54" customFormat="false" ht="15" hidden="false" customHeight="false" outlineLevel="0" collapsed="false">
      <c r="A54" s="19" t="s">
        <v>181</v>
      </c>
      <c r="B54" s="22" t="s">
        <v>198</v>
      </c>
      <c r="C54" s="19" t="s">
        <v>199</v>
      </c>
      <c r="D54" s="52" t="n">
        <v>680374113</v>
      </c>
      <c r="E54" s="52" t="n">
        <v>561811515</v>
      </c>
      <c r="F54" s="52" t="n">
        <v>584213683</v>
      </c>
      <c r="G54" s="52" t="n">
        <v>600274011</v>
      </c>
      <c r="H54" s="52" t="n">
        <v>580429066</v>
      </c>
      <c r="I54" s="52" t="n">
        <v>546031272</v>
      </c>
      <c r="J54" s="52" t="n">
        <v>548614629</v>
      </c>
      <c r="K54" s="52" t="n">
        <v>533512024</v>
      </c>
      <c r="L54" s="52" t="n">
        <v>537800968</v>
      </c>
      <c r="M54" s="46" t="n">
        <f aca="false">SUM(D54:L54)</f>
        <v>5173061281</v>
      </c>
      <c r="N54" s="20" t="n">
        <f aca="false">IF(D54=0,"",E54/D54-1)</f>
        <v>-0.174260889317522</v>
      </c>
      <c r="O54" s="20" t="n">
        <f aca="false">IF(E54=0,"",F54/E54-1)</f>
        <v>0.0398748822369723</v>
      </c>
      <c r="P54" s="20" t="n">
        <f aca="false">IF(F54=0,"",G54/F54-1)</f>
        <v>0.0274905029911803</v>
      </c>
      <c r="Q54" s="20" t="n">
        <f aca="false">IF(G54=0,"",H54/G54-1)</f>
        <v>-0.0330598104138145</v>
      </c>
      <c r="R54" s="20" t="n">
        <f aca="false">IF(H54=0,"",I54/H54-1)</f>
        <v>-0.05926270067254</v>
      </c>
      <c r="S54" s="20" t="n">
        <f aca="false">IF(I54=0,"",J54/I54-1)</f>
        <v>0.00473115210148634</v>
      </c>
      <c r="T54" s="20" t="n">
        <f aca="false">IF(J54=0,"",K54/J54-1)</f>
        <v>-0.0275286224640575</v>
      </c>
      <c r="U54" s="20" t="n">
        <f aca="false">IF(K54=0,"",L54/K54-1)</f>
        <v>0.00803907654759817</v>
      </c>
    </row>
    <row r="55" customFormat="false" ht="15" hidden="false" customHeight="false" outlineLevel="0" collapsed="false">
      <c r="A55" s="19" t="s">
        <v>181</v>
      </c>
      <c r="B55" s="22" t="s">
        <v>328</v>
      </c>
      <c r="C55" s="19" t="s">
        <v>329</v>
      </c>
      <c r="D55" s="52" t="n">
        <v>16973425</v>
      </c>
      <c r="E55" s="52" t="n">
        <v>12991095</v>
      </c>
      <c r="F55" s="52" t="n">
        <v>14533146</v>
      </c>
      <c r="G55" s="52" t="n">
        <v>14728978</v>
      </c>
      <c r="H55" s="52" t="n">
        <v>13980937</v>
      </c>
      <c r="I55" s="52" t="n">
        <v>12138466</v>
      </c>
      <c r="J55" s="52" t="n">
        <v>9837466</v>
      </c>
      <c r="K55" s="52" t="n">
        <v>6831138</v>
      </c>
      <c r="L55" s="52" t="n">
        <v>8154426</v>
      </c>
      <c r="M55" s="46" t="n">
        <f aca="false">SUM(D55:L55)</f>
        <v>110169077</v>
      </c>
      <c r="N55" s="20" t="n">
        <f aca="false">IF(D55=0,"",E55/D55-1)</f>
        <v>-0.234621474451974</v>
      </c>
      <c r="O55" s="20" t="n">
        <f aca="false">IF(E55=0,"",F55/E55-1)</f>
        <v>0.118700617615374</v>
      </c>
      <c r="P55" s="20" t="n">
        <f aca="false">IF(F55=0,"",G55/F55-1)</f>
        <v>0.0134748525886963</v>
      </c>
      <c r="Q55" s="20" t="n">
        <f aca="false">IF(G55=0,"",H55/G55-1)</f>
        <v>-0.0507870267713075</v>
      </c>
      <c r="R55" s="20" t="n">
        <f aca="false">IF(H55=0,"",I55/H55-1)</f>
        <v>-0.131784514871929</v>
      </c>
      <c r="S55" s="20" t="n">
        <f aca="false">IF(I55=0,"",J55/I55-1)</f>
        <v>-0.189562667968094</v>
      </c>
      <c r="T55" s="20" t="n">
        <f aca="false">IF(J55=0,"",K55/J55-1)</f>
        <v>-0.305599836380629</v>
      </c>
      <c r="U55" s="20" t="n">
        <f aca="false">IF(K55=0,"",L55/K55-1)</f>
        <v>0.193714136648974</v>
      </c>
    </row>
    <row r="56" customFormat="false" ht="15" hidden="false" customHeight="false" outlineLevel="0" collapsed="false">
      <c r="A56" s="19" t="s">
        <v>181</v>
      </c>
      <c r="B56" s="22" t="s">
        <v>196</v>
      </c>
      <c r="C56" s="19" t="s">
        <v>197</v>
      </c>
      <c r="D56" s="52" t="n">
        <v>829444566</v>
      </c>
      <c r="E56" s="52" t="n">
        <v>745392629</v>
      </c>
      <c r="F56" s="52" t="n">
        <v>784896014</v>
      </c>
      <c r="G56" s="52" t="n">
        <v>834286819</v>
      </c>
      <c r="H56" s="52" t="n">
        <v>877127731</v>
      </c>
      <c r="I56" s="52" t="n">
        <v>758766361</v>
      </c>
      <c r="J56" s="52" t="n">
        <v>825093882</v>
      </c>
      <c r="K56" s="52" t="n">
        <v>787788914</v>
      </c>
      <c r="L56" s="52" t="n">
        <v>647185061</v>
      </c>
      <c r="M56" s="46" t="n">
        <f aca="false">SUM(D56:L56)</f>
        <v>7089981977</v>
      </c>
      <c r="N56" s="20" t="n">
        <f aca="false">IF(D56=0,"",E56/D56-1)</f>
        <v>-0.101335207252416</v>
      </c>
      <c r="O56" s="20" t="n">
        <f aca="false">IF(E56=0,"",F56/E56-1)</f>
        <v>0.0529967475704674</v>
      </c>
      <c r="P56" s="20" t="n">
        <f aca="false">IF(F56=0,"",G56/F56-1)</f>
        <v>0.062926558574675</v>
      </c>
      <c r="Q56" s="20" t="n">
        <f aca="false">IF(G56=0,"",H56/G56-1)</f>
        <v>0.0513503402239417</v>
      </c>
      <c r="R56" s="20" t="n">
        <f aca="false">IF(H56=0,"",I56/H56-1)</f>
        <v>-0.13494199968465</v>
      </c>
      <c r="S56" s="20" t="n">
        <f aca="false">IF(I56=0,"",J56/I56-1)</f>
        <v>0.0874149466939798</v>
      </c>
      <c r="T56" s="20" t="n">
        <f aca="false">IF(J56=0,"",K56/J56-1)</f>
        <v>-0.0452129979555466</v>
      </c>
      <c r="U56" s="20" t="n">
        <f aca="false">IF(K56=0,"",L56/K56-1)</f>
        <v>-0.178479095734013</v>
      </c>
    </row>
    <row r="57" customFormat="false" ht="15" hidden="false" customHeight="false" outlineLevel="0" collapsed="false">
      <c r="A57" s="19" t="s">
        <v>181</v>
      </c>
      <c r="B57" s="22" t="s">
        <v>264</v>
      </c>
      <c r="C57" s="19" t="s">
        <v>265</v>
      </c>
      <c r="D57" s="52" t="n">
        <v>35677470</v>
      </c>
      <c r="E57" s="52" t="n">
        <v>36843820</v>
      </c>
      <c r="F57" s="52" t="n">
        <v>45409480</v>
      </c>
      <c r="G57" s="52" t="n">
        <v>39348810</v>
      </c>
      <c r="H57" s="52" t="n">
        <v>51270550</v>
      </c>
      <c r="I57" s="52" t="n">
        <v>53145260</v>
      </c>
      <c r="J57" s="52" t="n">
        <v>51408950</v>
      </c>
      <c r="K57" s="52" t="n">
        <v>46034620</v>
      </c>
      <c r="L57" s="52" t="n">
        <v>44913750</v>
      </c>
      <c r="M57" s="46" t="n">
        <f aca="false">SUM(D57:L57)</f>
        <v>404052710</v>
      </c>
      <c r="N57" s="20" t="n">
        <f aca="false">IF(D57=0,"",E57/D57-1)</f>
        <v>0.0326914997055565</v>
      </c>
      <c r="O57" s="20" t="n">
        <f aca="false">IF(E57=0,"",F57/E57-1)</f>
        <v>0.232485665167184</v>
      </c>
      <c r="P57" s="20" t="n">
        <f aca="false">IF(F57=0,"",G57/F57-1)</f>
        <v>-0.133467064586514</v>
      </c>
      <c r="Q57" s="20" t="n">
        <f aca="false">IF(G57=0,"",H57/G57-1)</f>
        <v>0.302975871443126</v>
      </c>
      <c r="R57" s="20" t="n">
        <f aca="false">IF(H57=0,"",I57/H57-1)</f>
        <v>0.0365650456256077</v>
      </c>
      <c r="S57" s="20" t="n">
        <f aca="false">IF(I57=0,"",J57/I57-1)</f>
        <v>-0.0326710227779486</v>
      </c>
      <c r="T57" s="20" t="n">
        <f aca="false">IF(J57=0,"",K57/J57-1)</f>
        <v>-0.104540746309738</v>
      </c>
      <c r="U57" s="20" t="n">
        <f aca="false">IF(K57=0,"",L57/K57-1)</f>
        <v>-0.0243484143021057</v>
      </c>
    </row>
    <row r="58" customFormat="false" ht="15" hidden="false" customHeight="false" outlineLevel="0" collapsed="false">
      <c r="A58" s="19" t="s">
        <v>181</v>
      </c>
      <c r="B58" s="22" t="s">
        <v>332</v>
      </c>
      <c r="C58" s="19" t="s">
        <v>333</v>
      </c>
      <c r="D58" s="52" t="n">
        <v>15580498</v>
      </c>
      <c r="E58" s="52" t="n">
        <v>11415955</v>
      </c>
      <c r="F58" s="52" t="n">
        <v>10292497</v>
      </c>
      <c r="G58" s="52" t="n">
        <v>10501350</v>
      </c>
      <c r="H58" s="52" t="n">
        <v>7993809</v>
      </c>
      <c r="I58" s="52" t="n">
        <v>7880694</v>
      </c>
      <c r="J58" s="52" t="n">
        <v>6345326</v>
      </c>
      <c r="K58" s="52" t="n">
        <v>7679625</v>
      </c>
      <c r="L58" s="52" t="n">
        <v>6400713</v>
      </c>
      <c r="M58" s="46" t="n">
        <f aca="false">SUM(D58:L58)</f>
        <v>84090467</v>
      </c>
      <c r="N58" s="20" t="n">
        <f aca="false">IF(D58=0,"",E58/D58-1)</f>
        <v>-0.267292033926002</v>
      </c>
      <c r="O58" s="20" t="n">
        <f aca="false">IF(E58=0,"",F58/E58-1)</f>
        <v>-0.0984112148304719</v>
      </c>
      <c r="P58" s="20" t="n">
        <f aca="false">IF(F58=0,"",G58/F58-1)</f>
        <v>0.0202917717634505</v>
      </c>
      <c r="Q58" s="20" t="n">
        <f aca="false">IF(G58=0,"",H58/G58-1)</f>
        <v>-0.23878272793498</v>
      </c>
      <c r="R58" s="20" t="n">
        <f aca="false">IF(H58=0,"",I58/H58-1)</f>
        <v>-0.0141503255832107</v>
      </c>
      <c r="S58" s="20" t="n">
        <f aca="false">IF(I58=0,"",J58/I58-1)</f>
        <v>-0.194826496245128</v>
      </c>
      <c r="T58" s="20" t="n">
        <f aca="false">IF(J58=0,"",K58/J58-1)</f>
        <v>0.210280606544093</v>
      </c>
      <c r="U58" s="20" t="n">
        <f aca="false">IF(K58=0,"",L58/K58-1)</f>
        <v>-0.166533131500562</v>
      </c>
    </row>
    <row r="59" customFormat="false" ht="15" hidden="false" customHeight="false" outlineLevel="0" collapsed="false">
      <c r="A59" s="19" t="s">
        <v>181</v>
      </c>
      <c r="B59" s="22" t="s">
        <v>340</v>
      </c>
      <c r="C59" s="19" t="s">
        <v>341</v>
      </c>
      <c r="D59" s="52" t="n">
        <v>29393229</v>
      </c>
      <c r="E59" s="52" t="n">
        <v>17496592</v>
      </c>
      <c r="F59" s="52" t="n">
        <v>10885957</v>
      </c>
      <c r="G59" s="52" t="n">
        <v>11842502</v>
      </c>
      <c r="H59" s="52" t="n">
        <v>10910910</v>
      </c>
      <c r="I59" s="52" t="n">
        <v>6118182</v>
      </c>
      <c r="J59" s="52" t="n">
        <v>5727271</v>
      </c>
      <c r="K59" s="52" t="n">
        <v>2722728</v>
      </c>
      <c r="L59" s="52" t="n">
        <v>4859088</v>
      </c>
      <c r="M59" s="46" t="n">
        <f aca="false">SUM(D59:L59)</f>
        <v>99956459</v>
      </c>
      <c r="N59" s="20" t="n">
        <f aca="false">IF(D59=0,"",E59/D59-1)</f>
        <v>-0.40474073127522</v>
      </c>
      <c r="O59" s="20" t="n">
        <f aca="false">IF(E59=0,"",F59/E59-1)</f>
        <v>-0.377824149983037</v>
      </c>
      <c r="P59" s="20" t="n">
        <f aca="false">IF(F59=0,"",G59/F59-1)</f>
        <v>0.087869628733606</v>
      </c>
      <c r="Q59" s="20" t="n">
        <f aca="false">IF(G59=0,"",H59/G59-1)</f>
        <v>-0.0786651334321075</v>
      </c>
      <c r="R59" s="20" t="n">
        <f aca="false">IF(H59=0,"",I59/H59-1)</f>
        <v>-0.439260153369426</v>
      </c>
      <c r="S59" s="20" t="n">
        <f aca="false">IF(I59=0,"",J59/I59-1)</f>
        <v>-0.0638933264816248</v>
      </c>
      <c r="T59" s="20" t="n">
        <f aca="false">IF(J59=0,"",K59/J59-1)</f>
        <v>-0.52460290424532</v>
      </c>
      <c r="U59" s="20" t="n">
        <f aca="false">IF(K59=0,"",L59/K59-1)</f>
        <v>0.78463952330163</v>
      </c>
    </row>
    <row r="60" customFormat="false" ht="15" hidden="false" customHeight="false" outlineLevel="0" collapsed="false">
      <c r="A60" s="19" t="s">
        <v>181</v>
      </c>
      <c r="B60" s="22" t="s">
        <v>387</v>
      </c>
      <c r="C60" s="19" t="s">
        <v>388</v>
      </c>
      <c r="D60" s="52" t="n">
        <v>0</v>
      </c>
      <c r="E60" s="52" t="n">
        <v>0</v>
      </c>
      <c r="F60" s="52" t="n">
        <v>0</v>
      </c>
      <c r="G60" s="52" t="n">
        <v>0</v>
      </c>
      <c r="H60" s="52" t="n">
        <v>0</v>
      </c>
      <c r="I60" s="52" t="n">
        <v>0</v>
      </c>
      <c r="J60" s="52" t="n">
        <v>0</v>
      </c>
      <c r="K60" s="52" t="n">
        <v>0</v>
      </c>
      <c r="L60" s="52" t="n">
        <v>0</v>
      </c>
      <c r="M60" s="46" t="n">
        <f aca="false">SUM(D60:L60)</f>
        <v>0</v>
      </c>
      <c r="N60" s="20" t="str">
        <f aca="false">IF(D60=0,"",E60/D60-1)</f>
        <v/>
      </c>
      <c r="O60" s="20" t="str">
        <f aca="false">IF(E60=0,"",F60/E60-1)</f>
        <v/>
      </c>
      <c r="P60" s="20" t="str">
        <f aca="false">IF(F60=0,"",G60/F60-1)</f>
        <v/>
      </c>
      <c r="Q60" s="20" t="str">
        <f aca="false">IF(G60=0,"",H60/G60-1)</f>
        <v/>
      </c>
      <c r="R60" s="20" t="str">
        <f aca="false">IF(H60=0,"",I60/H60-1)</f>
        <v/>
      </c>
      <c r="S60" s="20" t="str">
        <f aca="false">IF(I60=0,"",J60/I60-1)</f>
        <v/>
      </c>
      <c r="T60" s="20" t="str">
        <f aca="false">IF(J60=0,"",K60/J60-1)</f>
        <v/>
      </c>
      <c r="U60" s="20" t="str">
        <f aca="false">IF(K60=0,"",L60/K60-1)</f>
        <v/>
      </c>
    </row>
    <row r="61" customFormat="false" ht="15" hidden="false" customHeight="false" outlineLevel="0" collapsed="false">
      <c r="A61" s="19" t="s">
        <v>181</v>
      </c>
      <c r="B61" s="22" t="s">
        <v>201</v>
      </c>
      <c r="C61" s="19" t="s">
        <v>202</v>
      </c>
      <c r="D61" s="52" t="n">
        <v>506423551</v>
      </c>
      <c r="E61" s="52" t="n">
        <v>454817690</v>
      </c>
      <c r="F61" s="52" t="n">
        <v>439499988</v>
      </c>
      <c r="G61" s="52" t="n">
        <v>440603240</v>
      </c>
      <c r="H61" s="52" t="n">
        <v>497847709</v>
      </c>
      <c r="I61" s="52" t="n">
        <v>485440847</v>
      </c>
      <c r="J61" s="52" t="n">
        <v>503480434</v>
      </c>
      <c r="K61" s="52" t="n">
        <v>464428982</v>
      </c>
      <c r="L61" s="52" t="n">
        <v>471967420</v>
      </c>
      <c r="M61" s="46" t="n">
        <f aca="false">SUM(D61:L61)</f>
        <v>4264509861</v>
      </c>
      <c r="N61" s="20" t="n">
        <f aca="false">IF(D61=0,"",E61/D61-1)</f>
        <v>-0.101902569298164</v>
      </c>
      <c r="O61" s="20" t="n">
        <f aca="false">IF(E61=0,"",F61/E61-1)</f>
        <v>-0.0336787735762872</v>
      </c>
      <c r="P61" s="20" t="n">
        <f aca="false">IF(F61=0,"",G61/F61-1)</f>
        <v>0.00251024352701457</v>
      </c>
      <c r="Q61" s="20" t="n">
        <f aca="false">IF(G61=0,"",H61/G61-1)</f>
        <v>0.129922941556217</v>
      </c>
      <c r="R61" s="20" t="n">
        <f aca="false">IF(H61=0,"",I61/H61-1)</f>
        <v>-0.0249209984814854</v>
      </c>
      <c r="S61" s="20" t="n">
        <f aca="false">IF(I61=0,"",J61/I61-1)</f>
        <v>0.037161246548336</v>
      </c>
      <c r="T61" s="20" t="n">
        <f aca="false">IF(J61=0,"",K61/J61-1)</f>
        <v>-0.0775629982077913</v>
      </c>
      <c r="U61" s="20" t="n">
        <f aca="false">IF(K61=0,"",L61/K61-1)</f>
        <v>0.0162316269917884</v>
      </c>
    </row>
    <row r="62" customFormat="false" ht="15" hidden="false" customHeight="false" outlineLevel="0" collapsed="false">
      <c r="A62" s="19" t="s">
        <v>181</v>
      </c>
      <c r="B62" s="22" t="s">
        <v>292</v>
      </c>
      <c r="C62" s="19" t="s">
        <v>293</v>
      </c>
      <c r="D62" s="52" t="n">
        <v>28245549</v>
      </c>
      <c r="E62" s="52" t="n">
        <v>24699265</v>
      </c>
      <c r="F62" s="52" t="n">
        <v>31538562</v>
      </c>
      <c r="G62" s="52" t="n">
        <v>29955472</v>
      </c>
      <c r="H62" s="52" t="n">
        <v>28666749</v>
      </c>
      <c r="I62" s="52" t="n">
        <v>26469358</v>
      </c>
      <c r="J62" s="52" t="n">
        <v>23360198</v>
      </c>
      <c r="K62" s="52" t="n">
        <v>21445285</v>
      </c>
      <c r="L62" s="52" t="n">
        <v>21091915</v>
      </c>
      <c r="M62" s="46" t="n">
        <f aca="false">SUM(D62:L62)</f>
        <v>235472353</v>
      </c>
      <c r="N62" s="20" t="n">
        <f aca="false">IF(D62=0,"",E62/D62-1)</f>
        <v>-0.125551958646653</v>
      </c>
      <c r="O62" s="20" t="n">
        <f aca="false">IF(E62=0,"",F62/E62-1)</f>
        <v>0.27690285520642</v>
      </c>
      <c r="P62" s="20" t="n">
        <f aca="false">IF(F62=0,"",G62/F62-1)</f>
        <v>-0.050195376694727</v>
      </c>
      <c r="Q62" s="20" t="n">
        <f aca="false">IF(G62=0,"",H62/G62-1)</f>
        <v>-0.0430212883976591</v>
      </c>
      <c r="R62" s="20" t="n">
        <f aca="false">IF(H62=0,"",I62/H62-1)</f>
        <v>-0.0766529542641895</v>
      </c>
      <c r="S62" s="20" t="n">
        <f aca="false">IF(I62=0,"",J62/I62-1)</f>
        <v>-0.117462614695831</v>
      </c>
      <c r="T62" s="20" t="n">
        <f aca="false">IF(J62=0,"",K62/J62-1)</f>
        <v>-0.0819733206028477</v>
      </c>
      <c r="U62" s="20" t="n">
        <f aca="false">IF(K62=0,"",L62/K62-1)</f>
        <v>-0.0164777479058916</v>
      </c>
    </row>
    <row r="63" customFormat="false" ht="15" hidden="false" customHeight="false" outlineLevel="0" collapsed="false">
      <c r="A63" s="19" t="s">
        <v>181</v>
      </c>
      <c r="B63" s="22" t="s">
        <v>282</v>
      </c>
      <c r="C63" s="19" t="s">
        <v>283</v>
      </c>
      <c r="D63" s="52" t="n">
        <v>37852614</v>
      </c>
      <c r="E63" s="52" t="n">
        <v>30907563</v>
      </c>
      <c r="F63" s="52" t="n">
        <v>35315755</v>
      </c>
      <c r="G63" s="52" t="n">
        <v>38019335</v>
      </c>
      <c r="H63" s="52" t="n">
        <v>34264908</v>
      </c>
      <c r="I63" s="52" t="n">
        <v>37503265</v>
      </c>
      <c r="J63" s="52" t="n">
        <v>38400912</v>
      </c>
      <c r="K63" s="52" t="n">
        <v>33451676</v>
      </c>
      <c r="L63" s="52" t="n">
        <v>32143738</v>
      </c>
      <c r="M63" s="46" t="n">
        <f aca="false">SUM(D63:L63)</f>
        <v>317859766</v>
      </c>
      <c r="N63" s="20" t="n">
        <f aca="false">IF(D63=0,"",E63/D63-1)</f>
        <v>-0.183476126642139</v>
      </c>
      <c r="O63" s="20" t="n">
        <f aca="false">IF(E63=0,"",F63/E63-1)</f>
        <v>0.142625026761249</v>
      </c>
      <c r="P63" s="20" t="n">
        <f aca="false">IF(F63=0,"",G63/F63-1)</f>
        <v>0.0765545009585664</v>
      </c>
      <c r="Q63" s="20" t="n">
        <f aca="false">IF(G63=0,"",H63/G63-1)</f>
        <v>-0.098750464730643</v>
      </c>
      <c r="R63" s="20" t="n">
        <f aca="false">IF(H63=0,"",I63/H63-1)</f>
        <v>0.0945094322156068</v>
      </c>
      <c r="S63" s="20" t="n">
        <f aca="false">IF(I63=0,"",J63/I63-1)</f>
        <v>0.0239351693779195</v>
      </c>
      <c r="T63" s="20" t="n">
        <f aca="false">IF(J63=0,"",K63/J63-1)</f>
        <v>-0.128883293188453</v>
      </c>
      <c r="U63" s="20" t="n">
        <f aca="false">IF(K63=0,"",L63/K63-1)</f>
        <v>-0.0390993264433148</v>
      </c>
    </row>
    <row r="64" customFormat="false" ht="15" hidden="false" customHeight="false" outlineLevel="0" collapsed="false">
      <c r="A64" s="19" t="s">
        <v>181</v>
      </c>
      <c r="B64" s="22" t="s">
        <v>270</v>
      </c>
      <c r="C64" s="19" t="s">
        <v>271</v>
      </c>
      <c r="D64" s="52" t="n">
        <v>38961850</v>
      </c>
      <c r="E64" s="52" t="n">
        <v>38920940</v>
      </c>
      <c r="F64" s="52" t="n">
        <v>36698820</v>
      </c>
      <c r="G64" s="52" t="n">
        <v>32065520</v>
      </c>
      <c r="H64" s="52" t="n">
        <v>33962200</v>
      </c>
      <c r="I64" s="52" t="n">
        <v>40642310</v>
      </c>
      <c r="J64" s="52" t="n">
        <v>36665640</v>
      </c>
      <c r="K64" s="52" t="n">
        <v>31080810</v>
      </c>
      <c r="L64" s="52" t="n">
        <v>37280990</v>
      </c>
      <c r="M64" s="46" t="n">
        <f aca="false">SUM(D64:L64)</f>
        <v>326279080</v>
      </c>
      <c r="N64" s="20" t="n">
        <f aca="false">IF(D64=0,"",E64/D64-1)</f>
        <v>-0.00105000147580259</v>
      </c>
      <c r="O64" s="20" t="n">
        <f aca="false">IF(E64=0,"",F64/E64-1)</f>
        <v>-0.0570931740086442</v>
      </c>
      <c r="P64" s="20" t="n">
        <f aca="false">IF(F64=0,"",G64/F64-1)</f>
        <v>-0.126252015732386</v>
      </c>
      <c r="Q64" s="20" t="n">
        <f aca="false">IF(G64=0,"",H64/G64-1)</f>
        <v>0.0591501400881695</v>
      </c>
      <c r="R64" s="20" t="n">
        <f aca="false">IF(H64=0,"",I64/H64-1)</f>
        <v>0.196692499308054</v>
      </c>
      <c r="S64" s="20" t="n">
        <f aca="false">IF(I64=0,"",J64/I64-1)</f>
        <v>-0.0978455702936176</v>
      </c>
      <c r="T64" s="20" t="n">
        <f aca="false">IF(J64=0,"",K64/J64-1)</f>
        <v>-0.152317810353235</v>
      </c>
      <c r="U64" s="20" t="n">
        <f aca="false">IF(K64=0,"",L64/K64-1)</f>
        <v>0.199485792036952</v>
      </c>
    </row>
    <row r="65" customFormat="false" ht="15" hidden="false" customHeight="false" outlineLevel="0" collapsed="false">
      <c r="A65" s="19" t="s">
        <v>181</v>
      </c>
      <c r="B65" s="22" t="s">
        <v>389</v>
      </c>
      <c r="C65" s="19" t="s">
        <v>390</v>
      </c>
      <c r="D65" s="52" t="n">
        <v>12276330</v>
      </c>
      <c r="E65" s="52" t="n">
        <v>0</v>
      </c>
      <c r="F65" s="52" t="n">
        <v>0</v>
      </c>
      <c r="G65" s="52" t="n">
        <v>0</v>
      </c>
      <c r="H65" s="52" t="n">
        <v>0</v>
      </c>
      <c r="I65" s="52" t="n">
        <v>0</v>
      </c>
      <c r="J65" s="52" t="n">
        <v>0</v>
      </c>
      <c r="K65" s="52" t="n">
        <v>0</v>
      </c>
      <c r="L65" s="52" t="n">
        <v>0</v>
      </c>
      <c r="M65" s="46" t="n">
        <f aca="false">SUM(D65:L65)</f>
        <v>12276330</v>
      </c>
      <c r="N65" s="20" t="n">
        <f aca="false">IF(D65=0,"",E65/D65-1)</f>
        <v>-1</v>
      </c>
      <c r="O65" s="20" t="str">
        <f aca="false">IF(E65=0,"",F65/E65-1)</f>
        <v/>
      </c>
      <c r="P65" s="20" t="str">
        <f aca="false">IF(F65=0,"",G65/F65-1)</f>
        <v/>
      </c>
      <c r="Q65" s="20" t="str">
        <f aca="false">IF(G65=0,"",H65/G65-1)</f>
        <v/>
      </c>
      <c r="R65" s="20" t="str">
        <f aca="false">IF(H65=0,"",I65/H65-1)</f>
        <v/>
      </c>
      <c r="S65" s="20" t="str">
        <f aca="false">IF(I65=0,"",J65/I65-1)</f>
        <v/>
      </c>
      <c r="T65" s="20" t="str">
        <f aca="false">IF(J65=0,"",K65/J65-1)</f>
        <v/>
      </c>
      <c r="U65" s="20" t="str">
        <f aca="false">IF(K65=0,"",L65/K65-1)</f>
        <v/>
      </c>
    </row>
    <row r="66" customFormat="false" ht="15" hidden="false" customHeight="false" outlineLevel="0" collapsed="false">
      <c r="A66" s="19" t="s">
        <v>181</v>
      </c>
      <c r="B66" s="22" t="s">
        <v>296</v>
      </c>
      <c r="C66" s="22" t="s">
        <v>297</v>
      </c>
      <c r="D66" s="52" t="n">
        <v>33202373</v>
      </c>
      <c r="E66" s="52" t="n">
        <v>26998340</v>
      </c>
      <c r="F66" s="52" t="n">
        <v>29719506</v>
      </c>
      <c r="G66" s="52" t="n">
        <v>29948046</v>
      </c>
      <c r="H66" s="52" t="n">
        <v>28009671</v>
      </c>
      <c r="I66" s="52" t="n">
        <v>28295812</v>
      </c>
      <c r="J66" s="52" t="n">
        <v>28100036</v>
      </c>
      <c r="K66" s="52" t="n">
        <v>22872307</v>
      </c>
      <c r="L66" s="52" t="n">
        <v>24085838</v>
      </c>
      <c r="M66" s="46" t="n">
        <f aca="false">SUM(D66:L66)</f>
        <v>251231929</v>
      </c>
      <c r="N66" s="20" t="n">
        <f aca="false">IF(D66=0,"",E66/D66-1)</f>
        <v>-0.186855108217717</v>
      </c>
      <c r="O66" s="20" t="n">
        <f aca="false">IF(E66=0,"",F66/E66-1)</f>
        <v>0.100790122651985</v>
      </c>
      <c r="P66" s="20" t="n">
        <f aca="false">IF(F66=0,"",G66/F66-1)</f>
        <v>0.0076898990178369</v>
      </c>
      <c r="Q66" s="20" t="n">
        <f aca="false">IF(G66=0,"",H66/G66-1)</f>
        <v>-0.0647245900450401</v>
      </c>
      <c r="R66" s="20" t="n">
        <f aca="false">IF(H66=0,"",I66/H66-1)</f>
        <v>0.0102157929666507</v>
      </c>
      <c r="S66" s="20" t="n">
        <f aca="false">IF(I66=0,"",J66/I66-1)</f>
        <v>-0.00691890375861981</v>
      </c>
      <c r="T66" s="20" t="n">
        <f aca="false">IF(J66=0,"",K66/J66-1)</f>
        <v>-0.18603993959296</v>
      </c>
      <c r="U66" s="20" t="n">
        <f aca="false">IF(K66=0,"",L66/K66-1)</f>
        <v>0.0530567817229806</v>
      </c>
    </row>
    <row r="67" customFormat="false" ht="15" hidden="false" customHeight="false" outlineLevel="0" collapsed="false">
      <c r="A67" s="19" t="s">
        <v>181</v>
      </c>
      <c r="B67" s="22" t="s">
        <v>249</v>
      </c>
      <c r="C67" s="19" t="s">
        <v>71</v>
      </c>
      <c r="D67" s="52" t="n">
        <v>81538870</v>
      </c>
      <c r="E67" s="52" t="n">
        <v>76142080</v>
      </c>
      <c r="F67" s="52" t="n">
        <v>91285490</v>
      </c>
      <c r="G67" s="52" t="n">
        <v>74402175</v>
      </c>
      <c r="H67" s="52" t="n">
        <v>83634505</v>
      </c>
      <c r="I67" s="52" t="n">
        <v>69109170</v>
      </c>
      <c r="J67" s="52" t="n">
        <v>66163125</v>
      </c>
      <c r="K67" s="52" t="n">
        <v>67243725</v>
      </c>
      <c r="L67" s="52" t="n">
        <v>63846025</v>
      </c>
      <c r="M67" s="46" t="n">
        <f aca="false">SUM(D67:L67)</f>
        <v>673365165</v>
      </c>
      <c r="N67" s="20" t="n">
        <f aca="false">IF(D67=0,"",E67/D67-1)</f>
        <v>-0.0661867156118303</v>
      </c>
      <c r="O67" s="20" t="n">
        <f aca="false">IF(E67=0,"",F67/E67-1)</f>
        <v>0.198883587104529</v>
      </c>
      <c r="P67" s="20" t="n">
        <f aca="false">IF(F67=0,"",G67/F67-1)</f>
        <v>-0.184950696983716</v>
      </c>
      <c r="Q67" s="20" t="n">
        <f aca="false">IF(G67=0,"",H67/G67-1)</f>
        <v>0.124086829450886</v>
      </c>
      <c r="R67" s="20" t="n">
        <f aca="false">IF(H67=0,"",I67/H67-1)</f>
        <v>-0.173676343274824</v>
      </c>
      <c r="S67" s="20" t="n">
        <f aca="false">IF(I67=0,"",J67/I67-1)</f>
        <v>-0.0426288580806281</v>
      </c>
      <c r="T67" s="20" t="n">
        <f aca="false">IF(J67=0,"",K67/J67-1)</f>
        <v>0.0163323603593391</v>
      </c>
      <c r="U67" s="20" t="n">
        <f aca="false">IF(K67=0,"",L67/K67-1)</f>
        <v>-0.0505281347813494</v>
      </c>
    </row>
    <row r="68" customFormat="false" ht="15" hidden="false" customHeight="false" outlineLevel="0" collapsed="false">
      <c r="A68" s="19" t="s">
        <v>181</v>
      </c>
      <c r="B68" s="22" t="s">
        <v>256</v>
      </c>
      <c r="C68" s="19" t="s">
        <v>257</v>
      </c>
      <c r="D68" s="52" t="n">
        <v>71460330</v>
      </c>
      <c r="E68" s="52" t="n">
        <v>63267748</v>
      </c>
      <c r="F68" s="52" t="n">
        <v>54654040</v>
      </c>
      <c r="G68" s="52" t="n">
        <v>54617210</v>
      </c>
      <c r="H68" s="52" t="n">
        <v>48691980</v>
      </c>
      <c r="I68" s="52" t="n">
        <v>44815090</v>
      </c>
      <c r="J68" s="52" t="n">
        <v>41941080</v>
      </c>
      <c r="K68" s="52" t="n">
        <v>39705380</v>
      </c>
      <c r="L68" s="52" t="n">
        <v>42490950</v>
      </c>
      <c r="M68" s="46" t="n">
        <f aca="false">SUM(D68:L68)</f>
        <v>461643808</v>
      </c>
      <c r="N68" s="20" t="n">
        <f aca="false">IF(D68=0,"",E68/D68-1)</f>
        <v>-0.11464517446253</v>
      </c>
      <c r="O68" s="20" t="n">
        <f aca="false">IF(E68=0,"",F68/E68-1)</f>
        <v>-0.136146903790538</v>
      </c>
      <c r="P68" s="20" t="n">
        <f aca="false">IF(F68=0,"",G68/F68-1)</f>
        <v>-0.000673875160921322</v>
      </c>
      <c r="Q68" s="20" t="n">
        <f aca="false">IF(G68=0,"",H68/G68-1)</f>
        <v>-0.108486500866668</v>
      </c>
      <c r="R68" s="20" t="n">
        <f aca="false">IF(H68=0,"",I68/H68-1)</f>
        <v>-0.0796207096117266</v>
      </c>
      <c r="S68" s="20" t="n">
        <f aca="false">IF(I68=0,"",J68/I68-1)</f>
        <v>-0.0641304078603882</v>
      </c>
      <c r="T68" s="20" t="n">
        <f aca="false">IF(J68=0,"",K68/J68-1)</f>
        <v>-0.0533057327088382</v>
      </c>
      <c r="U68" s="20" t="n">
        <f aca="false">IF(K68=0,"",L68/K68-1)</f>
        <v>0.070155983899411</v>
      </c>
    </row>
    <row r="69" customFormat="false" ht="15" hidden="false" customHeight="false" outlineLevel="0" collapsed="false">
      <c r="A69" s="19" t="s">
        <v>181</v>
      </c>
      <c r="B69" s="22" t="s">
        <v>391</v>
      </c>
      <c r="C69" s="19" t="s">
        <v>392</v>
      </c>
      <c r="D69" s="52" t="n">
        <v>0</v>
      </c>
      <c r="E69" s="52" t="n">
        <v>0</v>
      </c>
      <c r="F69" s="52" t="n">
        <v>0</v>
      </c>
      <c r="G69" s="52" t="n">
        <v>0</v>
      </c>
      <c r="H69" s="52" t="n">
        <v>0</v>
      </c>
      <c r="I69" s="52" t="n">
        <v>0</v>
      </c>
      <c r="J69" s="52" t="n">
        <v>0</v>
      </c>
      <c r="K69" s="52" t="n">
        <v>0</v>
      </c>
      <c r="L69" s="52" t="n">
        <v>0</v>
      </c>
      <c r="M69" s="46" t="n">
        <f aca="false">SUM(D69:L69)</f>
        <v>0</v>
      </c>
      <c r="N69" s="20" t="str">
        <f aca="false">IF(D69=0,"",E69/D69-1)</f>
        <v/>
      </c>
      <c r="O69" s="20" t="str">
        <f aca="false">IF(E69=0,"",F69/E69-1)</f>
        <v/>
      </c>
      <c r="P69" s="20" t="str">
        <f aca="false">IF(F69=0,"",G69/F69-1)</f>
        <v/>
      </c>
      <c r="Q69" s="20" t="str">
        <f aca="false">IF(G69=0,"",H69/G69-1)</f>
        <v/>
      </c>
      <c r="R69" s="20" t="str">
        <f aca="false">IF(H69=0,"",I69/H69-1)</f>
        <v/>
      </c>
      <c r="S69" s="20" t="str">
        <f aca="false">IF(I69=0,"",J69/I69-1)</f>
        <v/>
      </c>
      <c r="T69" s="20" t="str">
        <f aca="false">IF(J69=0,"",K69/J69-1)</f>
        <v/>
      </c>
      <c r="U69" s="20" t="str">
        <f aca="false">IF(K69=0,"",L69/K69-1)</f>
        <v/>
      </c>
    </row>
    <row r="70" customFormat="false" ht="15" hidden="false" customHeight="false" outlineLevel="0" collapsed="false">
      <c r="A70" s="19" t="s">
        <v>181</v>
      </c>
      <c r="B70" s="22" t="s">
        <v>200</v>
      </c>
      <c r="C70" s="22" t="s">
        <v>63</v>
      </c>
      <c r="D70" s="52" t="n">
        <v>284567870</v>
      </c>
      <c r="E70" s="52" t="n">
        <v>288834460</v>
      </c>
      <c r="F70" s="52" t="n">
        <v>312584350</v>
      </c>
      <c r="G70" s="52" t="n">
        <v>365800790</v>
      </c>
      <c r="H70" s="52" t="n">
        <v>410108390</v>
      </c>
      <c r="I70" s="52" t="n">
        <v>417660605</v>
      </c>
      <c r="J70" s="52" t="n">
        <v>462949079</v>
      </c>
      <c r="K70" s="52" t="n">
        <v>477484663</v>
      </c>
      <c r="L70" s="52" t="n">
        <v>509432352</v>
      </c>
      <c r="M70" s="46" t="n">
        <f aca="false">SUM(D70:L70)</f>
        <v>3529422559</v>
      </c>
      <c r="N70" s="20" t="n">
        <f aca="false">IF(D70=0,"",E70/D70-1)</f>
        <v>0.0149932246391695</v>
      </c>
      <c r="O70" s="20" t="n">
        <f aca="false">IF(E70=0,"",F70/E70-1)</f>
        <v>0.0822266498256474</v>
      </c>
      <c r="P70" s="20" t="n">
        <f aca="false">IF(F70=0,"",G70/F70-1)</f>
        <v>0.170246655022876</v>
      </c>
      <c r="Q70" s="20" t="n">
        <f aca="false">IF(G70=0,"",H70/G70-1)</f>
        <v>0.121124943442577</v>
      </c>
      <c r="R70" s="20" t="n">
        <f aca="false">IF(H70=0,"",I70/H70-1)</f>
        <v>0.0184151682436928</v>
      </c>
      <c r="S70" s="20" t="n">
        <f aca="false">IF(I70=0,"",J70/I70-1)</f>
        <v>0.108433674274834</v>
      </c>
      <c r="T70" s="20" t="n">
        <f aca="false">IF(J70=0,"",K70/J70-1)</f>
        <v>0.0313978030400186</v>
      </c>
      <c r="U70" s="20" t="n">
        <f aca="false">IF(K70=0,"",L70/K70-1)</f>
        <v>0.0669083040265106</v>
      </c>
    </row>
    <row r="71" customFormat="false" ht="15" hidden="false" customHeight="false" outlineLevel="0" collapsed="false">
      <c r="A71" s="19" t="s">
        <v>181</v>
      </c>
      <c r="B71" s="22" t="s">
        <v>250</v>
      </c>
      <c r="C71" s="19" t="s">
        <v>251</v>
      </c>
      <c r="D71" s="52" t="n">
        <v>64931739</v>
      </c>
      <c r="E71" s="52" t="n">
        <v>59534287</v>
      </c>
      <c r="F71" s="52" t="n">
        <v>74240991</v>
      </c>
      <c r="G71" s="52" t="n">
        <v>99307419</v>
      </c>
      <c r="H71" s="52" t="n">
        <v>100225884</v>
      </c>
      <c r="I71" s="52" t="n">
        <v>93532368</v>
      </c>
      <c r="J71" s="52" t="n">
        <v>87796705</v>
      </c>
      <c r="K71" s="52" t="n">
        <v>94942702</v>
      </c>
      <c r="L71" s="52" t="n">
        <v>97426135</v>
      </c>
      <c r="M71" s="46" t="n">
        <f aca="false">SUM(D71:L71)</f>
        <v>771938230</v>
      </c>
      <c r="N71" s="20" t="n">
        <f aca="false">IF(D71=0,"",E71/D71-1)</f>
        <v>-0.0831250184135681</v>
      </c>
      <c r="O71" s="20" t="n">
        <f aca="false">IF(E71=0,"",F71/E71-1)</f>
        <v>0.247029144734697</v>
      </c>
      <c r="P71" s="20" t="n">
        <f aca="false">IF(F71=0,"",G71/F71-1)</f>
        <v>0.337635956395032</v>
      </c>
      <c r="Q71" s="20" t="n">
        <f aca="false">IF(G71=0,"",H71/G71-1)</f>
        <v>0.00924870477199691</v>
      </c>
      <c r="R71" s="20" t="n">
        <f aca="false">IF(H71=0,"",I71/H71-1)</f>
        <v>-0.0667843049406279</v>
      </c>
      <c r="S71" s="20" t="n">
        <f aca="false">IF(I71=0,"",J71/I71-1)</f>
        <v>-0.0613227604800939</v>
      </c>
      <c r="T71" s="20" t="n">
        <f aca="false">IF(J71=0,"",K71/J71-1)</f>
        <v>0.0813925420094068</v>
      </c>
      <c r="U71" s="20" t="n">
        <f aca="false">IF(K71=0,"",L71/K71-1)</f>
        <v>0.0261571763567463</v>
      </c>
    </row>
    <row r="72" customFormat="false" ht="15" hidden="false" customHeight="false" outlineLevel="0" collapsed="false">
      <c r="A72" s="19" t="s">
        <v>181</v>
      </c>
      <c r="B72" s="22" t="s">
        <v>272</v>
      </c>
      <c r="C72" s="19" t="s">
        <v>273</v>
      </c>
      <c r="D72" s="52" t="n">
        <v>32377198</v>
      </c>
      <c r="E72" s="52" t="n">
        <v>32283728</v>
      </c>
      <c r="F72" s="52" t="n">
        <v>40868348</v>
      </c>
      <c r="G72" s="52" t="n">
        <v>39392948</v>
      </c>
      <c r="H72" s="52" t="n">
        <v>42073240</v>
      </c>
      <c r="I72" s="52" t="n">
        <v>43756528</v>
      </c>
      <c r="J72" s="52" t="n">
        <v>48438586</v>
      </c>
      <c r="K72" s="52" t="n">
        <v>39947794</v>
      </c>
      <c r="L72" s="52" t="n">
        <v>36516612</v>
      </c>
      <c r="M72" s="46" t="n">
        <f aca="false">SUM(D72:L72)</f>
        <v>355654982</v>
      </c>
      <c r="N72" s="20" t="n">
        <f aca="false">IF(D72=0,"",E72/D72-1)</f>
        <v>-0.00288690824944149</v>
      </c>
      <c r="O72" s="20" t="n">
        <f aca="false">IF(E72=0,"",F72/E72-1)</f>
        <v>0.26591166918517</v>
      </c>
      <c r="P72" s="20" t="n">
        <f aca="false">IF(F72=0,"",G72/F72-1)</f>
        <v>-0.0361012879698489</v>
      </c>
      <c r="Q72" s="20" t="n">
        <f aca="false">IF(G72=0,"",H72/G72-1)</f>
        <v>0.0680398938408977</v>
      </c>
      <c r="R72" s="20" t="n">
        <f aca="false">IF(H72=0,"",I72/H72-1)</f>
        <v>0.0400085184787291</v>
      </c>
      <c r="S72" s="20" t="n">
        <f aca="false">IF(I72=0,"",J72/I72-1)</f>
        <v>0.107002502575159</v>
      </c>
      <c r="T72" s="20" t="n">
        <f aca="false">IF(J72=0,"",K72/J72-1)</f>
        <v>-0.175289840211273</v>
      </c>
      <c r="U72" s="20" t="n">
        <f aca="false">IF(K72=0,"",L72/K72-1)</f>
        <v>-0.0858916514889409</v>
      </c>
    </row>
    <row r="73" customFormat="false" ht="15" hidden="false" customHeight="false" outlineLevel="0" collapsed="false">
      <c r="A73" s="19" t="s">
        <v>181</v>
      </c>
      <c r="B73" s="22" t="s">
        <v>393</v>
      </c>
      <c r="C73" s="19" t="s">
        <v>394</v>
      </c>
      <c r="D73" s="52" t="n">
        <v>86985890</v>
      </c>
      <c r="E73" s="52" t="n">
        <v>72992290</v>
      </c>
      <c r="F73" s="52" t="n">
        <v>77234010</v>
      </c>
      <c r="G73" s="52" t="n">
        <v>73373280</v>
      </c>
      <c r="H73" s="52" t="n">
        <v>72672090</v>
      </c>
      <c r="I73" s="52" t="n">
        <v>56776000</v>
      </c>
      <c r="J73" s="52" t="n">
        <v>69555310</v>
      </c>
      <c r="K73" s="52" t="n">
        <v>67451990</v>
      </c>
      <c r="L73" s="52" t="n">
        <v>36958620</v>
      </c>
      <c r="M73" s="46" t="n">
        <f aca="false">SUM(D73:L73)</f>
        <v>613999480</v>
      </c>
      <c r="N73" s="20" t="n">
        <f aca="false">IF(D73=0,"",E73/D73-1)</f>
        <v>-0.160872067872157</v>
      </c>
      <c r="O73" s="20" t="n">
        <f aca="false">IF(E73=0,"",F73/E73-1)</f>
        <v>0.0581118909956107</v>
      </c>
      <c r="P73" s="20" t="n">
        <f aca="false">IF(F73=0,"",G73/F73-1)</f>
        <v>-0.0499874342922244</v>
      </c>
      <c r="Q73" s="20" t="n">
        <f aca="false">IF(G73=0,"",H73/G73-1)</f>
        <v>-0.00955647614499444</v>
      </c>
      <c r="R73" s="20" t="n">
        <f aca="false">IF(H73=0,"",I73/H73-1)</f>
        <v>-0.218737207090095</v>
      </c>
      <c r="S73" s="20" t="n">
        <f aca="false">IF(I73=0,"",J73/I73-1)</f>
        <v>0.225082957587713</v>
      </c>
      <c r="T73" s="20" t="n">
        <f aca="false">IF(J73=0,"",K73/J73-1)</f>
        <v>-0.0302395316763019</v>
      </c>
      <c r="U73" s="20" t="n">
        <f aca="false">IF(K73=0,"",L73/K73-1)</f>
        <v>-0.452075172281796</v>
      </c>
    </row>
    <row r="74" customFormat="false" ht="15" hidden="false" customHeight="false" outlineLevel="0" collapsed="false">
      <c r="A74" s="19" t="s">
        <v>181</v>
      </c>
      <c r="B74" s="22" t="s">
        <v>266</v>
      </c>
      <c r="C74" s="19" t="s">
        <v>267</v>
      </c>
      <c r="D74" s="52" t="n">
        <v>31212491</v>
      </c>
      <c r="E74" s="52" t="n">
        <v>34281998</v>
      </c>
      <c r="F74" s="52" t="n">
        <v>28435045</v>
      </c>
      <c r="G74" s="52" t="n">
        <v>37177350</v>
      </c>
      <c r="H74" s="52" t="n">
        <v>43165688</v>
      </c>
      <c r="I74" s="52" t="n">
        <v>33146559</v>
      </c>
      <c r="J74" s="52" t="n">
        <v>37520863</v>
      </c>
      <c r="K74" s="52" t="n">
        <v>35458867</v>
      </c>
      <c r="L74" s="52" t="n">
        <v>33857922</v>
      </c>
      <c r="M74" s="46" t="n">
        <f aca="false">SUM(D74:L74)</f>
        <v>314256783</v>
      </c>
      <c r="N74" s="20" t="n">
        <f aca="false">IF(D74=0,"",E74/D74-1)</f>
        <v>0.0983422630382176</v>
      </c>
      <c r="O74" s="20" t="n">
        <f aca="false">IF(E74=0,"",F74/E74-1)</f>
        <v>-0.170554615865738</v>
      </c>
      <c r="P74" s="20" t="n">
        <f aca="false">IF(F74=0,"",G74/F74-1)</f>
        <v>0.307448256192315</v>
      </c>
      <c r="Q74" s="20" t="n">
        <f aca="false">IF(G74=0,"",H74/G74-1)</f>
        <v>0.16107490178832</v>
      </c>
      <c r="R74" s="20" t="n">
        <f aca="false">IF(H74=0,"",I74/H74-1)</f>
        <v>-0.232108636841373</v>
      </c>
      <c r="S74" s="20" t="n">
        <f aca="false">IF(I74=0,"",J74/I74-1)</f>
        <v>0.131968570251892</v>
      </c>
      <c r="T74" s="20" t="n">
        <f aca="false">IF(J74=0,"",K74/J74-1)</f>
        <v>-0.0549559854206978</v>
      </c>
      <c r="U74" s="20" t="n">
        <f aca="false">IF(K74=0,"",L74/K74-1)</f>
        <v>-0.0451493557309657</v>
      </c>
    </row>
    <row r="75" customFormat="false" ht="15" hidden="false" customHeight="false" outlineLevel="0" collapsed="false">
      <c r="A75" s="19" t="s">
        <v>181</v>
      </c>
      <c r="B75" s="22" t="s">
        <v>274</v>
      </c>
      <c r="C75" s="19" t="s">
        <v>275</v>
      </c>
      <c r="D75" s="52" t="n">
        <v>49786635</v>
      </c>
      <c r="E75" s="52" t="n">
        <v>38354431</v>
      </c>
      <c r="F75" s="52" t="n">
        <v>40057799</v>
      </c>
      <c r="G75" s="52" t="n">
        <v>38126279</v>
      </c>
      <c r="H75" s="52" t="n">
        <v>36982837</v>
      </c>
      <c r="I75" s="52" t="n">
        <v>36948910</v>
      </c>
      <c r="J75" s="52" t="n">
        <v>35738363</v>
      </c>
      <c r="K75" s="52" t="n">
        <v>32348474</v>
      </c>
      <c r="L75" s="52" t="n">
        <v>33532611</v>
      </c>
      <c r="M75" s="46" t="n">
        <f aca="false">SUM(D75:L75)</f>
        <v>341876339</v>
      </c>
      <c r="N75" s="20" t="n">
        <f aca="false">IF(D75=0,"",E75/D75-1)</f>
        <v>-0.229623954300185</v>
      </c>
      <c r="O75" s="20" t="n">
        <f aca="false">IF(E75=0,"",F75/E75-1)</f>
        <v>0.0444112441662867</v>
      </c>
      <c r="P75" s="20" t="n">
        <f aca="false">IF(F75=0,"",G75/F75-1)</f>
        <v>-0.0482183257247858</v>
      </c>
      <c r="Q75" s="20" t="n">
        <f aca="false">IF(G75=0,"",H75/G75-1)</f>
        <v>-0.029990915190019</v>
      </c>
      <c r="R75" s="20" t="n">
        <f aca="false">IF(H75=0,"",I75/H75-1)</f>
        <v>-0.000917371482344609</v>
      </c>
      <c r="S75" s="20" t="n">
        <f aca="false">IF(I75=0,"",J75/I75-1)</f>
        <v>-0.0327627256122034</v>
      </c>
      <c r="T75" s="20" t="n">
        <f aca="false">IF(J75=0,"",K75/J75-1)</f>
        <v>-0.0948529455588103</v>
      </c>
      <c r="U75" s="20" t="n">
        <f aca="false">IF(K75=0,"",L75/K75-1)</f>
        <v>0.0366056525572118</v>
      </c>
    </row>
    <row r="76" customFormat="false" ht="15" hidden="false" customHeight="false" outlineLevel="0" collapsed="false">
      <c r="A76" s="19" t="s">
        <v>181</v>
      </c>
      <c r="B76" s="22" t="s">
        <v>396</v>
      </c>
      <c r="C76" s="19" t="s">
        <v>397</v>
      </c>
      <c r="D76" s="52" t="n">
        <v>0</v>
      </c>
      <c r="E76" s="52" t="n">
        <v>0</v>
      </c>
      <c r="F76" s="52" t="n">
        <v>0</v>
      </c>
      <c r="G76" s="52" t="n">
        <v>0</v>
      </c>
      <c r="H76" s="52" t="n">
        <v>0</v>
      </c>
      <c r="I76" s="52" t="n">
        <v>0</v>
      </c>
      <c r="J76" s="52" t="n">
        <v>0</v>
      </c>
      <c r="K76" s="52" t="n">
        <v>0</v>
      </c>
      <c r="L76" s="52" t="n">
        <v>0</v>
      </c>
      <c r="M76" s="46" t="n">
        <f aca="false">SUM(D76:L76)</f>
        <v>0</v>
      </c>
      <c r="N76" s="20" t="str">
        <f aca="false">IF(D76=0,"",E76/D76-1)</f>
        <v/>
      </c>
      <c r="O76" s="20" t="str">
        <f aca="false">IF(E76=0,"",F76/E76-1)</f>
        <v/>
      </c>
      <c r="P76" s="20" t="str">
        <f aca="false">IF(F76=0,"",G76/F76-1)</f>
        <v/>
      </c>
      <c r="Q76" s="20" t="str">
        <f aca="false">IF(G76=0,"",H76/G76-1)</f>
        <v/>
      </c>
      <c r="R76" s="20" t="str">
        <f aca="false">IF(H76=0,"",I76/H76-1)</f>
        <v/>
      </c>
      <c r="S76" s="20" t="str">
        <f aca="false">IF(I76=0,"",J76/I76-1)</f>
        <v/>
      </c>
      <c r="T76" s="20" t="str">
        <f aca="false">IF(J76=0,"",K76/J76-1)</f>
        <v/>
      </c>
      <c r="U76" s="20" t="str">
        <f aca="false">IF(K76=0,"",L76/K76-1)</f>
        <v/>
      </c>
    </row>
    <row r="77" customFormat="false" ht="15" hidden="false" customHeight="false" outlineLevel="0" collapsed="false">
      <c r="A77" s="19" t="s">
        <v>181</v>
      </c>
      <c r="B77" s="22" t="s">
        <v>215</v>
      </c>
      <c r="C77" s="19" t="s">
        <v>216</v>
      </c>
      <c r="D77" s="52" t="n">
        <v>213748532</v>
      </c>
      <c r="E77" s="52" t="n">
        <v>215176442</v>
      </c>
      <c r="F77" s="52" t="n">
        <v>266926488</v>
      </c>
      <c r="G77" s="52" t="n">
        <v>330438188</v>
      </c>
      <c r="H77" s="52" t="n">
        <v>373636275</v>
      </c>
      <c r="I77" s="52" t="n">
        <v>373961060</v>
      </c>
      <c r="J77" s="52" t="n">
        <v>323415854</v>
      </c>
      <c r="K77" s="52" t="n">
        <v>321092602</v>
      </c>
      <c r="L77" s="52" t="n">
        <v>262513875</v>
      </c>
      <c r="M77" s="46" t="n">
        <f aca="false">SUM(D77:L77)</f>
        <v>2680909316</v>
      </c>
      <c r="N77" s="20" t="n">
        <f aca="false">IF(D77=0,"",E77/D77-1)</f>
        <v>0.00668032658114348</v>
      </c>
      <c r="O77" s="20" t="n">
        <f aca="false">IF(E77=0,"",F77/E77-1)</f>
        <v>0.240500519104224</v>
      </c>
      <c r="P77" s="20" t="n">
        <f aca="false">IF(F77=0,"",G77/F77-1)</f>
        <v>0.237937045798168</v>
      </c>
      <c r="Q77" s="20" t="n">
        <f aca="false">IF(G77=0,"",H77/G77-1)</f>
        <v>0.130729705490335</v>
      </c>
      <c r="R77" s="20" t="n">
        <f aca="false">IF(H77=0,"",I77/H77-1)</f>
        <v>0.000869254464117564</v>
      </c>
      <c r="S77" s="20" t="n">
        <f aca="false">IF(I77=0,"",J77/I77-1)</f>
        <v>-0.135161682342006</v>
      </c>
      <c r="T77" s="20" t="n">
        <f aca="false">IF(J77=0,"",K77/J77-1)</f>
        <v>-0.0071834821059823</v>
      </c>
      <c r="U77" s="20" t="n">
        <f aca="false">IF(K77=0,"",L77/K77-1)</f>
        <v>-0.182435617124558</v>
      </c>
    </row>
    <row r="78" customFormat="false" ht="15" hidden="false" customHeight="false" outlineLevel="0" collapsed="false">
      <c r="A78" s="19" t="s">
        <v>181</v>
      </c>
      <c r="B78" s="22" t="s">
        <v>225</v>
      </c>
      <c r="C78" s="19" t="s">
        <v>64</v>
      </c>
      <c r="D78" s="52" t="n">
        <v>97023607</v>
      </c>
      <c r="E78" s="52" t="n">
        <v>101624446</v>
      </c>
      <c r="F78" s="52" t="n">
        <v>133656236</v>
      </c>
      <c r="G78" s="52" t="n">
        <v>186637746</v>
      </c>
      <c r="H78" s="52" t="n">
        <v>223521843</v>
      </c>
      <c r="I78" s="52" t="n">
        <v>210241256</v>
      </c>
      <c r="J78" s="52" t="n">
        <v>206190098</v>
      </c>
      <c r="K78" s="52" t="n">
        <v>199936633</v>
      </c>
      <c r="L78" s="52" t="n">
        <v>178729832</v>
      </c>
      <c r="M78" s="46" t="n">
        <f aca="false">SUM(D78:L78)</f>
        <v>1537561697</v>
      </c>
      <c r="N78" s="20" t="n">
        <f aca="false">IF(D78=0,"",E78/D78-1)</f>
        <v>0.0474197892890129</v>
      </c>
      <c r="O78" s="20" t="n">
        <f aca="false">IF(E78=0,"",F78/E78-1)</f>
        <v>0.315197683832884</v>
      </c>
      <c r="P78" s="20" t="n">
        <f aca="false">IF(F78=0,"",G78/F78-1)</f>
        <v>0.396401332145849</v>
      </c>
      <c r="Q78" s="20" t="n">
        <f aca="false">IF(G78=0,"",H78/G78-1)</f>
        <v>0.197623995094754</v>
      </c>
      <c r="R78" s="20" t="n">
        <f aca="false">IF(H78=0,"",I78/H78-1)</f>
        <v>-0.0594151641815158</v>
      </c>
      <c r="S78" s="20" t="n">
        <f aca="false">IF(I78=0,"",J78/I78-1)</f>
        <v>-0.019269091505047</v>
      </c>
      <c r="T78" s="20" t="n">
        <f aca="false">IF(J78=0,"",K78/J78-1)</f>
        <v>-0.0303286387690644</v>
      </c>
      <c r="U78" s="20" t="n">
        <f aca="false">IF(K78=0,"",L78/K78-1)</f>
        <v>-0.10606761093151</v>
      </c>
    </row>
    <row r="79" customFormat="false" ht="15" hidden="false" customHeight="false" outlineLevel="0" collapsed="false">
      <c r="A79" s="19" t="s">
        <v>181</v>
      </c>
      <c r="B79" s="22" t="s">
        <v>185</v>
      </c>
      <c r="C79" s="19" t="s">
        <v>186</v>
      </c>
      <c r="D79" s="52" t="n">
        <v>1181732322</v>
      </c>
      <c r="E79" s="52" t="n">
        <v>1023130415</v>
      </c>
      <c r="F79" s="52" t="n">
        <v>1085285406</v>
      </c>
      <c r="G79" s="52" t="n">
        <v>1058075953</v>
      </c>
      <c r="H79" s="52" t="n">
        <v>1108701465</v>
      </c>
      <c r="I79" s="52" t="n">
        <v>1029197143</v>
      </c>
      <c r="J79" s="52" t="n">
        <v>1077120533</v>
      </c>
      <c r="K79" s="52" t="n">
        <v>1071672146</v>
      </c>
      <c r="L79" s="52" t="n">
        <v>1033837396</v>
      </c>
      <c r="M79" s="46" t="n">
        <f aca="false">SUM(D79:L79)</f>
        <v>9668752779</v>
      </c>
      <c r="N79" s="20" t="n">
        <f aca="false">IF(D79=0,"",E79/D79-1)</f>
        <v>-0.134211364153582</v>
      </c>
      <c r="O79" s="20" t="n">
        <f aca="false">IF(E79=0,"",F79/E79-1)</f>
        <v>0.0607498223967859</v>
      </c>
      <c r="P79" s="20" t="n">
        <f aca="false">IF(F79=0,"",G79/F79-1)</f>
        <v>-0.0250712419512623</v>
      </c>
      <c r="Q79" s="20" t="n">
        <f aca="false">IF(G79=0,"",H79/G79-1)</f>
        <v>0.0478467654958603</v>
      </c>
      <c r="R79" s="20" t="n">
        <f aca="false">IF(H79=0,"",I79/H79-1)</f>
        <v>-0.0717094046592606</v>
      </c>
      <c r="S79" s="20" t="n">
        <f aca="false">IF(I79=0,"",J79/I79-1)</f>
        <v>0.0465638583685808</v>
      </c>
      <c r="T79" s="20" t="n">
        <f aca="false">IF(J79=0,"",K79/J79-1)</f>
        <v>-0.00505828905222439</v>
      </c>
      <c r="U79" s="20" t="n">
        <f aca="false">IF(K79=0,"",L79/K79-1)</f>
        <v>-0.0353044073611669</v>
      </c>
    </row>
    <row r="80" customFormat="false" ht="15" hidden="false" customHeight="false" outlineLevel="0" collapsed="false">
      <c r="A80" s="19" t="s">
        <v>181</v>
      </c>
      <c r="B80" s="22" t="s">
        <v>304</v>
      </c>
      <c r="C80" s="22" t="s">
        <v>305</v>
      </c>
      <c r="D80" s="52" t="n">
        <v>20773300</v>
      </c>
      <c r="E80" s="52" t="n">
        <v>18108370</v>
      </c>
      <c r="F80" s="52" t="n">
        <v>17007480</v>
      </c>
      <c r="G80" s="52" t="n">
        <v>15972700</v>
      </c>
      <c r="H80" s="52" t="n">
        <v>18269410</v>
      </c>
      <c r="I80" s="52" t="n">
        <v>15604280</v>
      </c>
      <c r="J80" s="52" t="n">
        <v>17514690</v>
      </c>
      <c r="K80" s="52" t="n">
        <v>18355570</v>
      </c>
      <c r="L80" s="52" t="n">
        <v>16508490</v>
      </c>
      <c r="M80" s="46" t="n">
        <f aca="false">SUM(D80:L80)</f>
        <v>158114290</v>
      </c>
      <c r="N80" s="20" t="n">
        <f aca="false">IF(D80=0,"",E80/D80-1)</f>
        <v>-0.128286309830407</v>
      </c>
      <c r="O80" s="20" t="n">
        <f aca="false">IF(E80=0,"",F80/E80-1)</f>
        <v>-0.0607945386580902</v>
      </c>
      <c r="P80" s="20" t="n">
        <f aca="false">IF(F80=0,"",G80/F80-1)</f>
        <v>-0.0608426410026647</v>
      </c>
      <c r="Q80" s="20" t="n">
        <f aca="false">IF(G80=0,"",H80/G80-1)</f>
        <v>0.143789716203272</v>
      </c>
      <c r="R80" s="20" t="n">
        <f aca="false">IF(H80=0,"",I80/H80-1)</f>
        <v>-0.145879368846613</v>
      </c>
      <c r="S80" s="20" t="n">
        <f aca="false">IF(I80=0,"",J80/I80-1)</f>
        <v>0.122428590104766</v>
      </c>
      <c r="T80" s="20" t="n">
        <f aca="false">IF(J80=0,"",K80/J80-1)</f>
        <v>0.0480099847613631</v>
      </c>
      <c r="U80" s="20" t="n">
        <f aca="false">IF(K80=0,"",L80/K80-1)</f>
        <v>-0.100627765849821</v>
      </c>
    </row>
    <row r="81" customFormat="false" ht="15" hidden="false" customHeight="false" outlineLevel="0" collapsed="false">
      <c r="A81" s="19" t="s">
        <v>181</v>
      </c>
      <c r="B81" s="22" t="s">
        <v>182</v>
      </c>
      <c r="C81" s="19" t="s">
        <v>74</v>
      </c>
      <c r="D81" s="52" t="n">
        <v>7245897669</v>
      </c>
      <c r="E81" s="52" t="n">
        <v>6448663917</v>
      </c>
      <c r="F81" s="52" t="n">
        <v>6439111491</v>
      </c>
      <c r="G81" s="52" t="n">
        <v>6235038471</v>
      </c>
      <c r="H81" s="52" t="n">
        <v>7157528258</v>
      </c>
      <c r="I81" s="52" t="n">
        <v>7233664539</v>
      </c>
      <c r="J81" s="52" t="n">
        <v>7721927983</v>
      </c>
      <c r="K81" s="52" t="n">
        <v>7604036417</v>
      </c>
      <c r="L81" s="52" t="n">
        <v>7100651508</v>
      </c>
      <c r="M81" s="46" t="n">
        <f aca="false">SUM(D81:L81)</f>
        <v>63186520253</v>
      </c>
      <c r="N81" s="20" t="n">
        <f aca="false">IF(D81=0,"",E81/D81-1)</f>
        <v>-0.110025532848855</v>
      </c>
      <c r="O81" s="20" t="n">
        <f aca="false">IF(E81=0,"",F81/E81-1)</f>
        <v>-0.00148130312308847</v>
      </c>
      <c r="P81" s="20" t="n">
        <f aca="false">IF(F81=0,"",G81/F81-1)</f>
        <v>-0.0316927297011761</v>
      </c>
      <c r="Q81" s="20" t="n">
        <f aca="false">IF(G81=0,"",H81/G81-1)</f>
        <v>0.147952541318009</v>
      </c>
      <c r="R81" s="20" t="n">
        <f aca="false">IF(H81=0,"",I81/H81-1)</f>
        <v>0.0106372309344225</v>
      </c>
      <c r="S81" s="20" t="n">
        <f aca="false">IF(I81=0,"",J81/I81-1)</f>
        <v>0.067498767929802</v>
      </c>
      <c r="T81" s="20" t="n">
        <f aca="false">IF(J81=0,"",K81/J81-1)</f>
        <v>-0.0152671154483105</v>
      </c>
      <c r="U81" s="20" t="n">
        <f aca="false">IF(K81=0,"",L81/K81-1)</f>
        <v>-0.0661996972916391</v>
      </c>
    </row>
    <row r="82" customFormat="false" ht="15" hidden="false" customHeight="false" outlineLevel="0" collapsed="false">
      <c r="A82" s="19" t="s">
        <v>181</v>
      </c>
      <c r="B82" s="22" t="s">
        <v>226</v>
      </c>
      <c r="C82" s="19" t="s">
        <v>227</v>
      </c>
      <c r="D82" s="52" t="n">
        <v>167704758</v>
      </c>
      <c r="E82" s="52" t="n">
        <v>154148664</v>
      </c>
      <c r="F82" s="52" t="n">
        <v>176855184</v>
      </c>
      <c r="G82" s="52" t="n">
        <v>197207307</v>
      </c>
      <c r="H82" s="52" t="n">
        <v>215520881</v>
      </c>
      <c r="I82" s="52" t="n">
        <v>234193144</v>
      </c>
      <c r="J82" s="52" t="n">
        <v>218165013</v>
      </c>
      <c r="K82" s="52" t="n">
        <v>217857276</v>
      </c>
      <c r="L82" s="52" t="n">
        <v>173425560</v>
      </c>
      <c r="M82" s="46" t="n">
        <f aca="false">SUM(D82:L82)</f>
        <v>1755077787</v>
      </c>
      <c r="N82" s="20" t="n">
        <f aca="false">IF(D82=0,"",E82/D82-1)</f>
        <v>-0.0808330912114014</v>
      </c>
      <c r="O82" s="20" t="n">
        <f aca="false">IF(E82=0,"",F82/E82-1)</f>
        <v>0.147302736272823</v>
      </c>
      <c r="P82" s="20" t="n">
        <f aca="false">IF(F82=0,"",G82/F82-1)</f>
        <v>0.115077898988813</v>
      </c>
      <c r="Q82" s="20" t="n">
        <f aca="false">IF(G82=0,"",H82/G82-1)</f>
        <v>0.0928645813311573</v>
      </c>
      <c r="R82" s="20" t="n">
        <f aca="false">IF(H82=0,"",I82/H82-1)</f>
        <v>0.0866378371940675</v>
      </c>
      <c r="S82" s="20" t="n">
        <f aca="false">IF(I82=0,"",J82/I82-1)</f>
        <v>-0.0684397960001767</v>
      </c>
      <c r="T82" s="20" t="n">
        <f aca="false">IF(J82=0,"",K82/J82-1)</f>
        <v>-0.00141056989738309</v>
      </c>
      <c r="U82" s="20" t="n">
        <f aca="false">IF(K82=0,"",L82/K82-1)</f>
        <v>-0.203948735685101</v>
      </c>
    </row>
    <row r="83" customFormat="false" ht="15" hidden="false" customHeight="false" outlineLevel="0" collapsed="false">
      <c r="A83" s="19" t="s">
        <v>181</v>
      </c>
      <c r="B83" s="22" t="s">
        <v>398</v>
      </c>
      <c r="C83" s="19" t="s">
        <v>399</v>
      </c>
      <c r="D83" s="52" t="n">
        <v>2580000</v>
      </c>
      <c r="E83" s="52" t="n">
        <v>2460000</v>
      </c>
      <c r="F83" s="52" t="n">
        <v>600000</v>
      </c>
      <c r="G83" s="52" t="n">
        <v>360000</v>
      </c>
      <c r="H83" s="52" t="n">
        <v>0</v>
      </c>
      <c r="I83" s="52" t="n">
        <v>0</v>
      </c>
      <c r="J83" s="52" t="n">
        <v>0</v>
      </c>
      <c r="K83" s="52" t="n">
        <v>0</v>
      </c>
      <c r="L83" s="52" t="n">
        <v>0</v>
      </c>
      <c r="M83" s="46" t="n">
        <f aca="false">SUM(D83:L83)</f>
        <v>6000000</v>
      </c>
      <c r="N83" s="20" t="n">
        <f aca="false">IF(D83=0,"",E83/D83-1)</f>
        <v>-0.0465116279069767</v>
      </c>
      <c r="O83" s="20" t="n">
        <f aca="false">IF(E83=0,"",F83/E83-1)</f>
        <v>-0.75609756097561</v>
      </c>
      <c r="P83" s="20" t="n">
        <f aca="false">IF(F83=0,"",G83/F83-1)</f>
        <v>-0.4</v>
      </c>
      <c r="Q83" s="20" t="n">
        <f aca="false">IF(G83=0,"",H83/G83-1)</f>
        <v>-1</v>
      </c>
      <c r="R83" s="20" t="str">
        <f aca="false">IF(H83=0,"",I83/H83-1)</f>
        <v/>
      </c>
      <c r="S83" s="20" t="str">
        <f aca="false">IF(I83=0,"",J83/I83-1)</f>
        <v/>
      </c>
      <c r="T83" s="20" t="str">
        <f aca="false">IF(J83=0,"",K83/J83-1)</f>
        <v/>
      </c>
      <c r="U83" s="20" t="str">
        <f aca="false">IF(K83=0,"",L83/K83-1)</f>
        <v/>
      </c>
    </row>
    <row r="84" customFormat="false" ht="15" hidden="false" customHeight="false" outlineLevel="0" collapsed="false">
      <c r="A84" s="19" t="s">
        <v>181</v>
      </c>
      <c r="B84" s="22" t="s">
        <v>217</v>
      </c>
      <c r="C84" s="19" t="s">
        <v>218</v>
      </c>
      <c r="D84" s="52" t="n">
        <v>269433671</v>
      </c>
      <c r="E84" s="52" t="n">
        <v>221537168</v>
      </c>
      <c r="F84" s="52" t="n">
        <v>259404515</v>
      </c>
      <c r="G84" s="52" t="n">
        <v>258777744</v>
      </c>
      <c r="H84" s="52" t="n">
        <v>266438546</v>
      </c>
      <c r="I84" s="52" t="n">
        <v>246883967</v>
      </c>
      <c r="J84" s="52" t="n">
        <v>237941117</v>
      </c>
      <c r="K84" s="52" t="n">
        <v>246365873</v>
      </c>
      <c r="L84" s="52" t="n">
        <v>221498108</v>
      </c>
      <c r="M84" s="46" t="n">
        <f aca="false">SUM(D84:L84)</f>
        <v>2228280709</v>
      </c>
      <c r="N84" s="20" t="n">
        <f aca="false">IF(D84=0,"",E84/D84-1)</f>
        <v>-0.177767325153655</v>
      </c>
      <c r="O84" s="20" t="n">
        <f aca="false">IF(E84=0,"",F84/E84-1)</f>
        <v>0.170929994916248</v>
      </c>
      <c r="P84" s="20" t="n">
        <f aca="false">IF(F84=0,"",G84/F84-1)</f>
        <v>-0.0024161915608909</v>
      </c>
      <c r="Q84" s="20" t="n">
        <f aca="false">IF(G84=0,"",H84/G84-1)</f>
        <v>0.0296037900384509</v>
      </c>
      <c r="R84" s="20" t="n">
        <f aca="false">IF(H84=0,"",I84/H84-1)</f>
        <v>-0.0733924550091187</v>
      </c>
      <c r="S84" s="20" t="n">
        <f aca="false">IF(I84=0,"",J84/I84-1)</f>
        <v>-0.0362228868430327</v>
      </c>
      <c r="T84" s="20" t="n">
        <f aca="false">IF(J84=0,"",K84/J84-1)</f>
        <v>0.0354068943872361</v>
      </c>
      <c r="U84" s="20" t="n">
        <f aca="false">IF(K84=0,"",L84/K84-1)</f>
        <v>-0.100938351148984</v>
      </c>
    </row>
    <row r="85" customFormat="false" ht="15" hidden="false" customHeight="false" outlineLevel="0" collapsed="false">
      <c r="A85" s="19" t="s">
        <v>181</v>
      </c>
      <c r="B85" s="22" t="s">
        <v>290</v>
      </c>
      <c r="C85" s="22" t="s">
        <v>291</v>
      </c>
      <c r="D85" s="52" t="n">
        <v>21445230</v>
      </c>
      <c r="E85" s="52" t="n">
        <v>20896940</v>
      </c>
      <c r="F85" s="52" t="n">
        <v>22117990</v>
      </c>
      <c r="G85" s="52" t="n">
        <v>20217500</v>
      </c>
      <c r="H85" s="52" t="n">
        <v>23106750</v>
      </c>
      <c r="I85" s="52" t="n">
        <v>20085820</v>
      </c>
      <c r="J85" s="52" t="n">
        <v>19262090</v>
      </c>
      <c r="K85" s="52" t="n">
        <v>15503270</v>
      </c>
      <c r="L85" s="52" t="n">
        <v>21621320</v>
      </c>
      <c r="M85" s="46" t="n">
        <f aca="false">SUM(D85:L85)</f>
        <v>184256910</v>
      </c>
      <c r="N85" s="20" t="n">
        <f aca="false">IF(D85=0,"",E85/D85-1)</f>
        <v>-0.0255669908879503</v>
      </c>
      <c r="O85" s="20" t="n">
        <f aca="false">IF(E85=0,"",F85/E85-1)</f>
        <v>0.0584320000918794</v>
      </c>
      <c r="P85" s="20" t="n">
        <f aca="false">IF(F85=0,"",G85/F85-1)</f>
        <v>-0.085925077278722</v>
      </c>
      <c r="Q85" s="20" t="n">
        <f aca="false">IF(G85=0,"",H85/G85-1)</f>
        <v>0.142908371460369</v>
      </c>
      <c r="R85" s="20" t="n">
        <f aca="false">IF(H85=0,"",I85/H85-1)</f>
        <v>-0.130737987817413</v>
      </c>
      <c r="S85" s="20" t="n">
        <f aca="false">IF(I85=0,"",J85/I85-1)</f>
        <v>-0.0410105238421932</v>
      </c>
      <c r="T85" s="20" t="n">
        <f aca="false">IF(J85=0,"",K85/J85-1)</f>
        <v>-0.195140818052454</v>
      </c>
      <c r="U85" s="20" t="n">
        <f aca="false">IF(K85=0,"",L85/K85-1)</f>
        <v>0.394629649099835</v>
      </c>
    </row>
    <row r="86" customFormat="false" ht="15" hidden="false" customHeight="false" outlineLevel="0" collapsed="false">
      <c r="A86" s="19" t="s">
        <v>181</v>
      </c>
      <c r="B86" s="22" t="s">
        <v>262</v>
      </c>
      <c r="C86" s="19" t="s">
        <v>263</v>
      </c>
      <c r="D86" s="52" t="n">
        <v>41309545</v>
      </c>
      <c r="E86" s="52" t="n">
        <v>38181205</v>
      </c>
      <c r="F86" s="52" t="n">
        <v>43340205</v>
      </c>
      <c r="G86" s="52" t="n">
        <v>42302975</v>
      </c>
      <c r="H86" s="52" t="n">
        <v>44254025</v>
      </c>
      <c r="I86" s="52" t="n">
        <v>42385290</v>
      </c>
      <c r="J86" s="52" t="n">
        <v>42804445</v>
      </c>
      <c r="K86" s="52" t="n">
        <v>43478060</v>
      </c>
      <c r="L86" s="52" t="n">
        <v>42604130</v>
      </c>
      <c r="M86" s="46" t="n">
        <f aca="false">SUM(D86:L86)</f>
        <v>380659880</v>
      </c>
      <c r="N86" s="20" t="n">
        <f aca="false">IF(D86=0,"",E86/D86-1)</f>
        <v>-0.0757292291648335</v>
      </c>
      <c r="O86" s="20" t="n">
        <f aca="false">IF(E86=0,"",F86/E86-1)</f>
        <v>0.13511883661084</v>
      </c>
      <c r="P86" s="20" t="n">
        <f aca="false">IF(F86=0,"",G86/F86-1)</f>
        <v>-0.0239322818154644</v>
      </c>
      <c r="Q86" s="20" t="n">
        <f aca="false">IF(G86=0,"",H86/G86-1)</f>
        <v>0.0461208697497044</v>
      </c>
      <c r="R86" s="20" t="n">
        <f aca="false">IF(H86=0,"",I86/H86-1)</f>
        <v>-0.0422274584063258</v>
      </c>
      <c r="S86" s="20" t="n">
        <f aca="false">IF(I86=0,"",J86/I86-1)</f>
        <v>0.00988916201823797</v>
      </c>
      <c r="T86" s="20" t="n">
        <f aca="false">IF(J86=0,"",K86/J86-1)</f>
        <v>0.0157370338524423</v>
      </c>
      <c r="U86" s="20" t="n">
        <f aca="false">IF(K86=0,"",L86/K86-1)</f>
        <v>-0.0201004828642308</v>
      </c>
    </row>
    <row r="87" customFormat="false" ht="15" hidden="false" customHeight="false" outlineLevel="0" collapsed="false">
      <c r="A87" s="19" t="s">
        <v>181</v>
      </c>
      <c r="B87" s="22" t="s">
        <v>338</v>
      </c>
      <c r="C87" s="19" t="s">
        <v>339</v>
      </c>
      <c r="D87" s="52" t="n">
        <v>3082454</v>
      </c>
      <c r="E87" s="52" t="n">
        <v>2393484</v>
      </c>
      <c r="F87" s="52" t="n">
        <v>2674911</v>
      </c>
      <c r="G87" s="52" t="n">
        <v>3416600</v>
      </c>
      <c r="H87" s="52" t="n">
        <v>2476619</v>
      </c>
      <c r="I87" s="52" t="n">
        <v>2299252</v>
      </c>
      <c r="J87" s="52" t="n">
        <v>2971718</v>
      </c>
      <c r="K87" s="52" t="n">
        <v>2428127</v>
      </c>
      <c r="L87" s="52" t="n">
        <v>2736968</v>
      </c>
      <c r="M87" s="46" t="n">
        <f aca="false">SUM(D87:L87)</f>
        <v>24480133</v>
      </c>
      <c r="N87" s="20" t="n">
        <f aca="false">IF(D87=0,"",E87/D87-1)</f>
        <v>-0.223513473355969</v>
      </c>
      <c r="O87" s="20" t="n">
        <f aca="false">IF(E87=0,"",F87/E87-1)</f>
        <v>0.117580481005931</v>
      </c>
      <c r="P87" s="20" t="n">
        <f aca="false">IF(F87=0,"",G87/F87-1)</f>
        <v>0.277276141150117</v>
      </c>
      <c r="Q87" s="20" t="n">
        <f aca="false">IF(G87=0,"",H87/G87-1)</f>
        <v>-0.275121758473336</v>
      </c>
      <c r="R87" s="20" t="n">
        <f aca="false">IF(H87=0,"",I87/H87-1)</f>
        <v>-0.0716165869679591</v>
      </c>
      <c r="S87" s="20" t="n">
        <f aca="false">IF(I87=0,"",J87/I87-1)</f>
        <v>0.292471638602467</v>
      </c>
      <c r="T87" s="20" t="n">
        <f aca="false">IF(J87=0,"",K87/J87-1)</f>
        <v>-0.182921461592251</v>
      </c>
      <c r="U87" s="20" t="n">
        <f aca="false">IF(K87=0,"",L87/K87-1)</f>
        <v>0.127193099866687</v>
      </c>
    </row>
    <row r="88" customFormat="false" ht="15" hidden="false" customHeight="false" outlineLevel="0" collapsed="false">
      <c r="A88" s="19" t="s">
        <v>181</v>
      </c>
      <c r="B88" s="22" t="s">
        <v>400</v>
      </c>
      <c r="C88" s="19" t="s">
        <v>401</v>
      </c>
      <c r="D88" s="52" t="n">
        <v>21060660</v>
      </c>
      <c r="E88" s="52" t="n">
        <v>0</v>
      </c>
      <c r="F88" s="52" t="n">
        <v>0</v>
      </c>
      <c r="G88" s="52" t="n">
        <v>0</v>
      </c>
      <c r="H88" s="52" t="n">
        <v>0</v>
      </c>
      <c r="I88" s="52" t="n">
        <v>0</v>
      </c>
      <c r="J88" s="52" t="n">
        <v>0</v>
      </c>
      <c r="K88" s="52" t="n">
        <v>0</v>
      </c>
      <c r="L88" s="52" t="n">
        <v>0</v>
      </c>
      <c r="M88" s="46" t="n">
        <f aca="false">SUM(D88:L88)</f>
        <v>21060660</v>
      </c>
      <c r="N88" s="20" t="n">
        <f aca="false">IF(D88=0,"",E88/D88-1)</f>
        <v>-1</v>
      </c>
      <c r="O88" s="20" t="str">
        <f aca="false">IF(E88=0,"",F88/E88-1)</f>
        <v/>
      </c>
      <c r="P88" s="20" t="str">
        <f aca="false">IF(F88=0,"",G88/F88-1)</f>
        <v/>
      </c>
      <c r="Q88" s="20" t="str">
        <f aca="false">IF(G88=0,"",H88/G88-1)</f>
        <v/>
      </c>
      <c r="R88" s="20" t="str">
        <f aca="false">IF(H88=0,"",I88/H88-1)</f>
        <v/>
      </c>
      <c r="S88" s="20" t="str">
        <f aca="false">IF(I88=0,"",J88/I88-1)</f>
        <v/>
      </c>
      <c r="T88" s="20" t="str">
        <f aca="false">IF(J88=0,"",K88/J88-1)</f>
        <v/>
      </c>
      <c r="U88" s="20" t="str">
        <f aca="false">IF(K88=0,"",L88/K88-1)</f>
        <v/>
      </c>
    </row>
    <row r="89" customFormat="false" ht="15" hidden="false" customHeight="false" outlineLevel="0" collapsed="false">
      <c r="A89" s="19" t="s">
        <v>181</v>
      </c>
      <c r="B89" s="22" t="s">
        <v>206</v>
      </c>
      <c r="C89" s="19" t="s">
        <v>207</v>
      </c>
      <c r="D89" s="52" t="n">
        <v>350536255</v>
      </c>
      <c r="E89" s="52" t="n">
        <v>341184040</v>
      </c>
      <c r="F89" s="52" t="n">
        <v>340962889</v>
      </c>
      <c r="G89" s="52" t="n">
        <v>391012734</v>
      </c>
      <c r="H89" s="52" t="n">
        <v>487081427</v>
      </c>
      <c r="I89" s="52" t="n">
        <v>362276260</v>
      </c>
      <c r="J89" s="52" t="n">
        <v>349171617</v>
      </c>
      <c r="K89" s="52" t="n">
        <v>379787312</v>
      </c>
      <c r="L89" s="52" t="n">
        <v>321555443</v>
      </c>
      <c r="M89" s="46" t="n">
        <f aca="false">SUM(D89:L89)</f>
        <v>3323567977</v>
      </c>
      <c r="N89" s="20" t="n">
        <f aca="false">IF(D89=0,"",E89/D89-1)</f>
        <v>-0.0266797367365039</v>
      </c>
      <c r="O89" s="20" t="n">
        <f aca="false">IF(E89=0,"",F89/E89-1)</f>
        <v>-0.00064818682608947</v>
      </c>
      <c r="P89" s="20" t="n">
        <f aca="false">IF(F89=0,"",G89/F89-1)</f>
        <v>0.146789714114606</v>
      </c>
      <c r="Q89" s="20" t="n">
        <f aca="false">IF(G89=0,"",H89/G89-1)</f>
        <v>0.245691980456064</v>
      </c>
      <c r="R89" s="20" t="n">
        <f aca="false">IF(H89=0,"",I89/H89-1)</f>
        <v>-0.256230601459579</v>
      </c>
      <c r="S89" s="20" t="n">
        <f aca="false">IF(I89=0,"",J89/I89-1)</f>
        <v>-0.0361730658255112</v>
      </c>
      <c r="T89" s="20" t="n">
        <f aca="false">IF(J89=0,"",K89/J89-1)</f>
        <v>0.087680938281991</v>
      </c>
      <c r="U89" s="20" t="n">
        <f aca="false">IF(K89=0,"",L89/K89-1)</f>
        <v>-0.153327578779146</v>
      </c>
    </row>
    <row r="90" customFormat="false" ht="15" hidden="false" customHeight="false" outlineLevel="0" collapsed="false">
      <c r="A90" s="19" t="s">
        <v>181</v>
      </c>
      <c r="B90" s="22" t="s">
        <v>402</v>
      </c>
      <c r="C90" s="19" t="s">
        <v>403</v>
      </c>
      <c r="D90" s="52" t="n">
        <v>0</v>
      </c>
      <c r="E90" s="52" t="n">
        <v>0</v>
      </c>
      <c r="F90" s="52" t="n">
        <v>0</v>
      </c>
      <c r="G90" s="52" t="n">
        <v>0</v>
      </c>
      <c r="H90" s="52" t="n">
        <v>0</v>
      </c>
      <c r="I90" s="52" t="n">
        <v>0</v>
      </c>
      <c r="J90" s="52" t="n">
        <v>0</v>
      </c>
      <c r="K90" s="52" t="n">
        <v>0</v>
      </c>
      <c r="L90" s="52" t="n">
        <v>0</v>
      </c>
      <c r="M90" s="46" t="n">
        <f aca="false">SUM(D90:L90)</f>
        <v>0</v>
      </c>
      <c r="N90" s="20" t="str">
        <f aca="false">IF(D90=0,"",E90/D90-1)</f>
        <v/>
      </c>
      <c r="O90" s="20" t="str">
        <f aca="false">IF(E90=0,"",F90/E90-1)</f>
        <v/>
      </c>
      <c r="P90" s="20" t="str">
        <f aca="false">IF(F90=0,"",G90/F90-1)</f>
        <v/>
      </c>
      <c r="Q90" s="20" t="str">
        <f aca="false">IF(G90=0,"",H90/G90-1)</f>
        <v/>
      </c>
      <c r="R90" s="20" t="str">
        <f aca="false">IF(H90=0,"",I90/H90-1)</f>
        <v/>
      </c>
      <c r="S90" s="20" t="str">
        <f aca="false">IF(I90=0,"",J90/I90-1)</f>
        <v/>
      </c>
      <c r="T90" s="20" t="str">
        <f aca="false">IF(J90=0,"",K90/J90-1)</f>
        <v/>
      </c>
      <c r="U90" s="20" t="str">
        <f aca="false">IF(K90=0,"",L90/K90-1)</f>
        <v/>
      </c>
    </row>
    <row r="91" customFormat="false" ht="15" hidden="false" customHeight="false" outlineLevel="0" collapsed="false">
      <c r="A91" s="19" t="s">
        <v>181</v>
      </c>
      <c r="B91" s="22" t="s">
        <v>235</v>
      </c>
      <c r="C91" s="19" t="s">
        <v>236</v>
      </c>
      <c r="D91" s="52" t="n">
        <v>87480066</v>
      </c>
      <c r="E91" s="52" t="n">
        <v>87973507</v>
      </c>
      <c r="F91" s="52" t="n">
        <v>89255617</v>
      </c>
      <c r="G91" s="52" t="n">
        <v>81708739</v>
      </c>
      <c r="H91" s="52" t="n">
        <v>81917039</v>
      </c>
      <c r="I91" s="52" t="n">
        <v>99155834</v>
      </c>
      <c r="J91" s="52" t="n">
        <v>93963003</v>
      </c>
      <c r="K91" s="52" t="n">
        <v>93475364</v>
      </c>
      <c r="L91" s="52" t="n">
        <v>93063759</v>
      </c>
      <c r="M91" s="46" t="n">
        <f aca="false">SUM(D91:L91)</f>
        <v>807992928</v>
      </c>
      <c r="N91" s="20" t="n">
        <f aca="false">IF(D91=0,"",E91/D91-1)</f>
        <v>0.00564061074210898</v>
      </c>
      <c r="O91" s="20" t="n">
        <f aca="false">IF(E91=0,"",F91/E91-1)</f>
        <v>0.0145738193658689</v>
      </c>
      <c r="P91" s="20" t="n">
        <f aca="false">IF(F91=0,"",G91/F91-1)</f>
        <v>-0.0845535357175337</v>
      </c>
      <c r="Q91" s="20" t="n">
        <f aca="false">IF(G91=0,"",H91/G91-1)</f>
        <v>0.00254929891893196</v>
      </c>
      <c r="R91" s="20" t="n">
        <f aca="false">IF(H91=0,"",I91/H91-1)</f>
        <v>0.210442115711726</v>
      </c>
      <c r="S91" s="20" t="n">
        <f aca="false">IF(I91=0,"",J91/I91-1)</f>
        <v>-0.0523704031373484</v>
      </c>
      <c r="T91" s="20" t="n">
        <f aca="false">IF(J91=0,"",K91/J91-1)</f>
        <v>-0.00518969152145976</v>
      </c>
      <c r="U91" s="20" t="n">
        <f aca="false">IF(K91=0,"",L91/K91-1)</f>
        <v>-0.00440335273794712</v>
      </c>
    </row>
    <row r="92" customFormat="false" ht="15" hidden="false" customHeight="false" outlineLevel="0" collapsed="false">
      <c r="A92" s="19" t="s">
        <v>181</v>
      </c>
      <c r="B92" s="22" t="s">
        <v>354</v>
      </c>
      <c r="C92" s="22" t="s">
        <v>355</v>
      </c>
      <c r="D92" s="52" t="n">
        <v>744475</v>
      </c>
      <c r="E92" s="52" t="n">
        <v>806401</v>
      </c>
      <c r="F92" s="52" t="n">
        <v>456566</v>
      </c>
      <c r="G92" s="52" t="n">
        <v>610764</v>
      </c>
      <c r="H92" s="52" t="n">
        <v>908030</v>
      </c>
      <c r="I92" s="52" t="n">
        <v>692822</v>
      </c>
      <c r="J92" s="52" t="n">
        <v>542001</v>
      </c>
      <c r="K92" s="52" t="n">
        <v>691277</v>
      </c>
      <c r="L92" s="52" t="n">
        <v>628622</v>
      </c>
      <c r="M92" s="46" t="n">
        <f aca="false">SUM(D92:L92)</f>
        <v>6080958</v>
      </c>
      <c r="N92" s="20" t="n">
        <f aca="false">IF(D92=0,"",E92/D92-1)</f>
        <v>0.0831807649686021</v>
      </c>
      <c r="O92" s="20" t="n">
        <f aca="false">IF(E92=0,"",F92/E92-1)</f>
        <v>-0.433822626708052</v>
      </c>
      <c r="P92" s="20" t="n">
        <f aca="false">IF(F92=0,"",G92/F92-1)</f>
        <v>0.337734303474196</v>
      </c>
      <c r="Q92" s="20" t="n">
        <f aca="false">IF(G92=0,"",H92/G92-1)</f>
        <v>0.486711724987065</v>
      </c>
      <c r="R92" s="20" t="n">
        <f aca="false">IF(H92=0,"",I92/H92-1)</f>
        <v>-0.237005385284627</v>
      </c>
      <c r="S92" s="20" t="n">
        <f aca="false">IF(I92=0,"",J92/I92-1)</f>
        <v>-0.217690835452685</v>
      </c>
      <c r="T92" s="20" t="n">
        <f aca="false">IF(J92=0,"",K92/J92-1)</f>
        <v>0.27541646602128</v>
      </c>
      <c r="U92" s="20" t="n">
        <f aca="false">IF(K92=0,"",L92/K92-1)</f>
        <v>-0.0906366044291941</v>
      </c>
    </row>
    <row r="93" customFormat="false" ht="15" hidden="false" customHeight="false" outlineLevel="0" collapsed="false">
      <c r="A93" s="19" t="s">
        <v>181</v>
      </c>
      <c r="B93" s="22" t="s">
        <v>208</v>
      </c>
      <c r="C93" s="19" t="s">
        <v>209</v>
      </c>
      <c r="D93" s="52" t="n">
        <v>299316576</v>
      </c>
      <c r="E93" s="52" t="n">
        <v>286966289</v>
      </c>
      <c r="F93" s="52" t="n">
        <v>292980817</v>
      </c>
      <c r="G93" s="52" t="n">
        <v>299258295</v>
      </c>
      <c r="H93" s="52" t="n">
        <v>394585845</v>
      </c>
      <c r="I93" s="52" t="n">
        <v>305849045</v>
      </c>
      <c r="J93" s="52" t="n">
        <v>334165806</v>
      </c>
      <c r="K93" s="52" t="n">
        <v>346260801</v>
      </c>
      <c r="L93" s="52" t="n">
        <v>356018386</v>
      </c>
      <c r="M93" s="46" t="n">
        <f aca="false">SUM(D93:L93)</f>
        <v>2915401860</v>
      </c>
      <c r="N93" s="20" t="n">
        <f aca="false">IF(D93=0,"",E93/D93-1)</f>
        <v>-0.0412616206060035</v>
      </c>
      <c r="O93" s="20" t="n">
        <f aca="false">IF(E93=0,"",F93/E93-1)</f>
        <v>0.0209590053973203</v>
      </c>
      <c r="P93" s="20" t="n">
        <f aca="false">IF(F93=0,"",G93/F93-1)</f>
        <v>0.0214262423877396</v>
      </c>
      <c r="Q93" s="20" t="n">
        <f aca="false">IF(G93=0,"",H93/G93-1)</f>
        <v>0.318546057344877</v>
      </c>
      <c r="R93" s="20" t="n">
        <f aca="false">IF(H93=0,"",I93/H93-1)</f>
        <v>-0.224885918044019</v>
      </c>
      <c r="S93" s="20" t="n">
        <f aca="false">IF(I93=0,"",J93/I93-1)</f>
        <v>0.0925841079543015</v>
      </c>
      <c r="T93" s="20" t="n">
        <f aca="false">IF(J93=0,"",K93/J93-1)</f>
        <v>0.0361945919745001</v>
      </c>
      <c r="U93" s="20" t="n">
        <f aca="false">IF(K93=0,"",L93/K93-1)</f>
        <v>0.0281798718532971</v>
      </c>
    </row>
    <row r="94" customFormat="false" ht="15" hidden="false" customHeight="false" outlineLevel="0" collapsed="false">
      <c r="A94" s="19" t="s">
        <v>181</v>
      </c>
      <c r="B94" s="22" t="s">
        <v>404</v>
      </c>
      <c r="C94" s="22" t="s">
        <v>405</v>
      </c>
      <c r="D94" s="52" t="n">
        <v>0</v>
      </c>
      <c r="E94" s="52" t="n">
        <v>0</v>
      </c>
      <c r="F94" s="52" t="n">
        <v>0</v>
      </c>
      <c r="G94" s="52" t="n">
        <v>0</v>
      </c>
      <c r="H94" s="52" t="n">
        <v>0</v>
      </c>
      <c r="I94" s="52" t="n">
        <v>0</v>
      </c>
      <c r="J94" s="52" t="n">
        <v>0</v>
      </c>
      <c r="K94" s="52" t="n">
        <v>0</v>
      </c>
      <c r="L94" s="52" t="n">
        <v>0</v>
      </c>
      <c r="M94" s="46" t="n">
        <f aca="false">SUM(D94:L94)</f>
        <v>0</v>
      </c>
      <c r="N94" s="20" t="str">
        <f aca="false">IF(D94=0,"",E94/D94-1)</f>
        <v/>
      </c>
      <c r="O94" s="20" t="str">
        <f aca="false">IF(E94=0,"",F94/E94-1)</f>
        <v/>
      </c>
      <c r="P94" s="20" t="str">
        <f aca="false">IF(F94=0,"",G94/F94-1)</f>
        <v/>
      </c>
      <c r="Q94" s="20" t="str">
        <f aca="false">IF(G94=0,"",H94/G94-1)</f>
        <v/>
      </c>
      <c r="R94" s="20" t="str">
        <f aca="false">IF(H94=0,"",I94/H94-1)</f>
        <v/>
      </c>
      <c r="S94" s="20" t="str">
        <f aca="false">IF(I94=0,"",J94/I94-1)</f>
        <v/>
      </c>
      <c r="T94" s="20" t="str">
        <f aca="false">IF(J94=0,"",K94/J94-1)</f>
        <v/>
      </c>
      <c r="U94" s="20" t="str">
        <f aca="false">IF(K94=0,"",L94/K94-1)</f>
        <v/>
      </c>
    </row>
    <row r="95" customFormat="false" ht="15" hidden="false" customHeight="false" outlineLevel="0" collapsed="false">
      <c r="A95" s="19" t="s">
        <v>181</v>
      </c>
      <c r="B95" s="22" t="s">
        <v>203</v>
      </c>
      <c r="C95" s="19" t="s">
        <v>69</v>
      </c>
      <c r="D95" s="52" t="n">
        <v>616186440</v>
      </c>
      <c r="E95" s="52" t="n">
        <v>496130354</v>
      </c>
      <c r="F95" s="52" t="n">
        <v>519476283</v>
      </c>
      <c r="G95" s="52" t="n">
        <v>508427879</v>
      </c>
      <c r="H95" s="52" t="n">
        <v>508060374</v>
      </c>
      <c r="I95" s="52" t="n">
        <v>492460258</v>
      </c>
      <c r="J95" s="52" t="n">
        <v>513897795</v>
      </c>
      <c r="K95" s="52" t="n">
        <v>507558774</v>
      </c>
      <c r="L95" s="52" t="n">
        <v>418767227</v>
      </c>
      <c r="M95" s="46" t="n">
        <f aca="false">SUM(D95:L95)</f>
        <v>4580965384</v>
      </c>
      <c r="N95" s="20" t="n">
        <f aca="false">IF(D95=0,"",E95/D95-1)</f>
        <v>-0.194837273601801</v>
      </c>
      <c r="O95" s="20" t="n">
        <f aca="false">IF(E95=0,"",F95/E95-1)</f>
        <v>0.0470560384217089</v>
      </c>
      <c r="P95" s="20" t="n">
        <f aca="false">IF(F95=0,"",G95/F95-1)</f>
        <v>-0.021268351148189</v>
      </c>
      <c r="Q95" s="20" t="n">
        <f aca="false">IF(G95=0,"",H95/G95-1)</f>
        <v>-0.000722826216223327</v>
      </c>
      <c r="R95" s="20" t="n">
        <f aca="false">IF(H95=0,"",I95/H95-1)</f>
        <v>-0.0307052405547377</v>
      </c>
      <c r="S95" s="20" t="n">
        <f aca="false">IF(I95=0,"",J95/I95-1)</f>
        <v>0.0435315066581474</v>
      </c>
      <c r="T95" s="20" t="n">
        <f aca="false">IF(J95=0,"",K95/J95-1)</f>
        <v>-0.0123351784375724</v>
      </c>
      <c r="U95" s="20" t="n">
        <f aca="false">IF(K95=0,"",L95/K95-1)</f>
        <v>-0.174938453531689</v>
      </c>
    </row>
    <row r="96" customFormat="false" ht="15" hidden="false" customHeight="false" outlineLevel="0" collapsed="false">
      <c r="A96" s="19" t="s">
        <v>181</v>
      </c>
      <c r="B96" s="22" t="s">
        <v>239</v>
      </c>
      <c r="C96" s="19" t="s">
        <v>240</v>
      </c>
      <c r="D96" s="52" t="n">
        <v>101181620</v>
      </c>
      <c r="E96" s="52" t="n">
        <v>92984800</v>
      </c>
      <c r="F96" s="52" t="n">
        <v>95187363</v>
      </c>
      <c r="G96" s="52" t="n">
        <v>89304486</v>
      </c>
      <c r="H96" s="52" t="n">
        <v>97904683</v>
      </c>
      <c r="I96" s="52" t="n">
        <v>94581742</v>
      </c>
      <c r="J96" s="52" t="n">
        <v>88222464</v>
      </c>
      <c r="K96" s="52" t="n">
        <v>81806287</v>
      </c>
      <c r="L96" s="52" t="n">
        <v>90894871</v>
      </c>
      <c r="M96" s="46" t="n">
        <f aca="false">SUM(D96:L96)</f>
        <v>832068316</v>
      </c>
      <c r="N96" s="20" t="n">
        <f aca="false">IF(D96=0,"",E96/D96-1)</f>
        <v>-0.0810109583143658</v>
      </c>
      <c r="O96" s="20" t="n">
        <f aca="false">IF(E96=0,"",F96/E96-1)</f>
        <v>0.0236873445982568</v>
      </c>
      <c r="P96" s="20" t="n">
        <f aca="false">IF(F96=0,"",G96/F96-1)</f>
        <v>-0.0618031303167838</v>
      </c>
      <c r="Q96" s="20" t="n">
        <f aca="false">IF(G96=0,"",H96/G96-1)</f>
        <v>0.0963019595678543</v>
      </c>
      <c r="R96" s="20" t="n">
        <f aca="false">IF(H96=0,"",I96/H96-1)</f>
        <v>-0.0339405725873194</v>
      </c>
      <c r="S96" s="20" t="n">
        <f aca="false">IF(I96=0,"",J96/I96-1)</f>
        <v>-0.0672357884886493</v>
      </c>
      <c r="T96" s="20" t="n">
        <f aca="false">IF(J96=0,"",K96/J96-1)</f>
        <v>-0.0727272477903134</v>
      </c>
      <c r="U96" s="20" t="n">
        <f aca="false">IF(K96=0,"",L96/K96-1)</f>
        <v>0.111098845006864</v>
      </c>
    </row>
    <row r="97" customFormat="false" ht="15" hidden="false" customHeight="false" outlineLevel="0" collapsed="false">
      <c r="A97" s="19" t="s">
        <v>181</v>
      </c>
      <c r="B97" s="22" t="s">
        <v>193</v>
      </c>
      <c r="C97" s="22" t="s">
        <v>68</v>
      </c>
      <c r="D97" s="52" t="n">
        <v>880810048</v>
      </c>
      <c r="E97" s="52" t="n">
        <v>760409436</v>
      </c>
      <c r="F97" s="52" t="n">
        <v>767928463</v>
      </c>
      <c r="G97" s="52" t="n">
        <v>771702989</v>
      </c>
      <c r="H97" s="52" t="n">
        <v>769920644</v>
      </c>
      <c r="I97" s="52" t="n">
        <v>643829443</v>
      </c>
      <c r="J97" s="52" t="n">
        <v>620017574</v>
      </c>
      <c r="K97" s="52" t="n">
        <v>591888056</v>
      </c>
      <c r="L97" s="52" t="n">
        <v>648818993</v>
      </c>
      <c r="M97" s="46" t="n">
        <f aca="false">SUM(D97:L97)</f>
        <v>6455325646</v>
      </c>
      <c r="N97" s="20" t="n">
        <f aca="false">IF(D97=0,"",E97/D97-1)</f>
        <v>-0.136693050077467</v>
      </c>
      <c r="O97" s="20" t="n">
        <f aca="false">IF(E97=0,"",F97/E97-1)</f>
        <v>0.00988812953131202</v>
      </c>
      <c r="P97" s="20" t="n">
        <f aca="false">IF(F97=0,"",G97/F97-1)</f>
        <v>0.00491520523312072</v>
      </c>
      <c r="Q97" s="20" t="n">
        <f aca="false">IF(G97=0,"",H97/G97-1)</f>
        <v>-0.00230962562722437</v>
      </c>
      <c r="R97" s="20" t="n">
        <f aca="false">IF(H97=0,"",I97/H97-1)</f>
        <v>-0.1637716847608</v>
      </c>
      <c r="S97" s="20" t="n">
        <f aca="false">IF(I97=0,"",J97/I97-1)</f>
        <v>-0.0369847469060218</v>
      </c>
      <c r="T97" s="20" t="n">
        <f aca="false">IF(J97=0,"",K97/J97-1)</f>
        <v>-0.0453689043336697</v>
      </c>
      <c r="U97" s="20" t="n">
        <f aca="false">IF(K97=0,"",L97/K97-1)</f>
        <v>0.0961853114332822</v>
      </c>
    </row>
    <row r="98" customFormat="false" ht="15" hidden="false" customHeight="false" outlineLevel="0" collapsed="false">
      <c r="A98" s="19" t="s">
        <v>181</v>
      </c>
      <c r="B98" s="22" t="s">
        <v>219</v>
      </c>
      <c r="C98" s="19" t="s">
        <v>220</v>
      </c>
      <c r="D98" s="52" t="n">
        <v>212848709</v>
      </c>
      <c r="E98" s="52" t="n">
        <v>189323781</v>
      </c>
      <c r="F98" s="52" t="n">
        <v>213405000</v>
      </c>
      <c r="G98" s="52" t="n">
        <v>202344769</v>
      </c>
      <c r="H98" s="52" t="n">
        <v>198936959</v>
      </c>
      <c r="I98" s="52" t="n">
        <v>198682005</v>
      </c>
      <c r="J98" s="52" t="n">
        <v>185740799</v>
      </c>
      <c r="K98" s="52" t="n">
        <v>195595768</v>
      </c>
      <c r="L98" s="52" t="n">
        <v>219647396</v>
      </c>
      <c r="M98" s="46" t="n">
        <f aca="false">SUM(D98:L98)</f>
        <v>1816525186</v>
      </c>
      <c r="N98" s="20" t="n">
        <f aca="false">IF(D98=0,"",E98/D98-1)</f>
        <v>-0.110524175178342</v>
      </c>
      <c r="O98" s="20" t="n">
        <f aca="false">IF(E98=0,"",F98/E98-1)</f>
        <v>0.127195954321238</v>
      </c>
      <c r="P98" s="20" t="n">
        <f aca="false">IF(F98=0,"",G98/F98-1)</f>
        <v>-0.0518274220379091</v>
      </c>
      <c r="Q98" s="20" t="n">
        <f aca="false">IF(G98=0,"",H98/G98-1)</f>
        <v>-0.0168416016724405</v>
      </c>
      <c r="R98" s="20" t="n">
        <f aca="false">IF(H98=0,"",I98/H98-1)</f>
        <v>-0.00128158187036531</v>
      </c>
      <c r="S98" s="20" t="n">
        <f aca="false">IF(I98=0,"",J98/I98-1)</f>
        <v>-0.0651352697995976</v>
      </c>
      <c r="T98" s="20" t="n">
        <f aca="false">IF(J98=0,"",K98/J98-1)</f>
        <v>0.0530576429791281</v>
      </c>
      <c r="U98" s="20" t="n">
        <f aca="false">IF(K98=0,"",L98/K98-1)</f>
        <v>0.12296599382457</v>
      </c>
    </row>
    <row r="99" customFormat="false" ht="15" hidden="false" customHeight="false" outlineLevel="0" collapsed="false">
      <c r="A99" s="19" t="s">
        <v>181</v>
      </c>
      <c r="B99" s="22" t="s">
        <v>308</v>
      </c>
      <c r="C99" s="19" t="s">
        <v>309</v>
      </c>
      <c r="D99" s="52" t="n">
        <v>59365812</v>
      </c>
      <c r="E99" s="52" t="n">
        <v>50482312</v>
      </c>
      <c r="F99" s="52" t="n">
        <v>41346912</v>
      </c>
      <c r="G99" s="52" t="n">
        <v>39661661</v>
      </c>
      <c r="H99" s="52" t="n">
        <v>40818154</v>
      </c>
      <c r="I99" s="52" t="n">
        <v>37271262</v>
      </c>
      <c r="J99" s="52" t="n">
        <v>24817863</v>
      </c>
      <c r="K99" s="52" t="n">
        <v>15435429</v>
      </c>
      <c r="L99" s="52" t="n">
        <v>13174539</v>
      </c>
      <c r="M99" s="46" t="n">
        <f aca="false">SUM(D99:L99)</f>
        <v>322373944</v>
      </c>
      <c r="N99" s="20" t="n">
        <f aca="false">IF(D99=0,"",E99/D99-1)</f>
        <v>-0.149639998186161</v>
      </c>
      <c r="O99" s="20" t="n">
        <f aca="false">IF(E99=0,"",F99/E99-1)</f>
        <v>-0.180962393323032</v>
      </c>
      <c r="P99" s="20" t="n">
        <f aca="false">IF(F99=0,"",G99/F99-1)</f>
        <v>-0.0407588116858643</v>
      </c>
      <c r="Q99" s="20" t="n">
        <f aca="false">IF(G99=0,"",H99/G99-1)</f>
        <v>0.02915896537969</v>
      </c>
      <c r="R99" s="20" t="n">
        <f aca="false">IF(H99=0,"",I99/H99-1)</f>
        <v>-0.0868949634518014</v>
      </c>
      <c r="S99" s="20" t="n">
        <f aca="false">IF(I99=0,"",J99/I99-1)</f>
        <v>-0.334128718260197</v>
      </c>
      <c r="T99" s="20" t="n">
        <f aca="false">IF(J99=0,"",K99/J99-1)</f>
        <v>-0.37805164771842</v>
      </c>
      <c r="U99" s="20" t="n">
        <f aca="false">IF(K99=0,"",L99/K99-1)</f>
        <v>-0.146474063014381</v>
      </c>
    </row>
    <row r="100" customFormat="false" ht="15" hidden="false" customHeight="false" outlineLevel="0" collapsed="false">
      <c r="A100" s="19" t="s">
        <v>181</v>
      </c>
      <c r="B100" s="22" t="s">
        <v>194</v>
      </c>
      <c r="C100" s="19" t="s">
        <v>195</v>
      </c>
      <c r="D100" s="52" t="n">
        <v>658767886</v>
      </c>
      <c r="E100" s="52" t="n">
        <v>572651392</v>
      </c>
      <c r="F100" s="52" t="n">
        <v>620788633</v>
      </c>
      <c r="G100" s="52" t="n">
        <v>628361104</v>
      </c>
      <c r="H100" s="52" t="n">
        <v>676771109</v>
      </c>
      <c r="I100" s="52" t="n">
        <v>652199681</v>
      </c>
      <c r="J100" s="52" t="n">
        <v>685437712</v>
      </c>
      <c r="K100" s="52" t="n">
        <v>674432678</v>
      </c>
      <c r="L100" s="52" t="n">
        <v>647505974</v>
      </c>
      <c r="M100" s="46" t="n">
        <f aca="false">SUM(D100:L100)</f>
        <v>5816916169</v>
      </c>
      <c r="N100" s="20" t="n">
        <f aca="false">IF(D100=0,"",E100/D100-1)</f>
        <v>-0.130723576285563</v>
      </c>
      <c r="O100" s="20" t="n">
        <f aca="false">IF(E100=0,"",F100/E100-1)</f>
        <v>0.0840602881132959</v>
      </c>
      <c r="P100" s="20" t="n">
        <f aca="false">IF(F100=0,"",G100/F100-1)</f>
        <v>0.0121981469979655</v>
      </c>
      <c r="Q100" s="20" t="n">
        <f aca="false">IF(G100=0,"",H100/G100-1)</f>
        <v>0.077041695757158</v>
      </c>
      <c r="R100" s="20" t="n">
        <f aca="false">IF(H100=0,"",I100/H100-1)</f>
        <v>-0.0363068512725179</v>
      </c>
      <c r="S100" s="20" t="n">
        <f aca="false">IF(I100=0,"",J100/I100-1)</f>
        <v>0.0509629672756617</v>
      </c>
      <c r="T100" s="20" t="n">
        <f aca="false">IF(J100=0,"",K100/J100-1)</f>
        <v>-0.0160554836819367</v>
      </c>
      <c r="U100" s="20" t="n">
        <f aca="false">IF(K100=0,"",L100/K100-1)</f>
        <v>-0.0399249693532792</v>
      </c>
    </row>
    <row r="101" customFormat="false" ht="15" hidden="false" customHeight="false" outlineLevel="0" collapsed="false">
      <c r="A101" s="19" t="s">
        <v>181</v>
      </c>
      <c r="B101" s="22" t="s">
        <v>284</v>
      </c>
      <c r="C101" s="19" t="s">
        <v>285</v>
      </c>
      <c r="D101" s="52" t="n">
        <v>39708690</v>
      </c>
      <c r="E101" s="52" t="n">
        <v>33984280</v>
      </c>
      <c r="F101" s="52" t="n">
        <v>31215290</v>
      </c>
      <c r="G101" s="52" t="n">
        <v>33353470</v>
      </c>
      <c r="H101" s="52" t="n">
        <v>34314850</v>
      </c>
      <c r="I101" s="52" t="n">
        <v>29914790</v>
      </c>
      <c r="J101" s="52" t="n">
        <v>37333330</v>
      </c>
      <c r="K101" s="52" t="n">
        <v>32817030</v>
      </c>
      <c r="L101" s="52" t="n">
        <v>27259580</v>
      </c>
      <c r="M101" s="46" t="n">
        <f aca="false">SUM(D101:L101)</f>
        <v>299901310</v>
      </c>
      <c r="N101" s="20" t="n">
        <f aca="false">IF(D101=0,"",E101/D101-1)</f>
        <v>-0.1441601322028</v>
      </c>
      <c r="O101" s="20" t="n">
        <f aca="false">IF(E101=0,"",F101/E101-1)</f>
        <v>-0.0814785542021194</v>
      </c>
      <c r="P101" s="20" t="n">
        <f aca="false">IF(F101=0,"",G101/F101-1)</f>
        <v>0.0684978419229807</v>
      </c>
      <c r="Q101" s="20" t="n">
        <f aca="false">IF(G101=0,"",H101/G101-1)</f>
        <v>0.028823987429194</v>
      </c>
      <c r="R101" s="20" t="n">
        <f aca="false">IF(H101=0,"",I101/H101-1)</f>
        <v>-0.128226117846938</v>
      </c>
      <c r="S101" s="20" t="n">
        <f aca="false">IF(I101=0,"",J101/I101-1)</f>
        <v>0.247989038198162</v>
      </c>
      <c r="T101" s="20" t="n">
        <f aca="false">IF(J101=0,"",K101/J101-1)</f>
        <v>-0.120972332229673</v>
      </c>
      <c r="U101" s="20" t="n">
        <f aca="false">IF(K101=0,"",L101/K101-1)</f>
        <v>-0.169346525264474</v>
      </c>
    </row>
    <row r="102" customFormat="false" ht="15" hidden="false" customHeight="false" outlineLevel="0" collapsed="false">
      <c r="A102" s="19" t="s">
        <v>181</v>
      </c>
      <c r="B102" s="22" t="s">
        <v>237</v>
      </c>
      <c r="C102" s="19" t="s">
        <v>238</v>
      </c>
      <c r="D102" s="52" t="n">
        <v>103382754</v>
      </c>
      <c r="E102" s="52" t="n">
        <v>94692910</v>
      </c>
      <c r="F102" s="52" t="n">
        <v>102629130</v>
      </c>
      <c r="G102" s="52" t="n">
        <v>106374780</v>
      </c>
      <c r="H102" s="52" t="n">
        <v>92505560</v>
      </c>
      <c r="I102" s="52" t="n">
        <v>88816640</v>
      </c>
      <c r="J102" s="52" t="n">
        <v>100462410</v>
      </c>
      <c r="K102" s="52" t="n">
        <v>92474910</v>
      </c>
      <c r="L102" s="52" t="n">
        <v>96548640</v>
      </c>
      <c r="M102" s="46" t="n">
        <f aca="false">SUM(D102:L102)</f>
        <v>877887734</v>
      </c>
      <c r="N102" s="20" t="n">
        <f aca="false">IF(D102=0,"",E102/D102-1)</f>
        <v>-0.0840550639616352</v>
      </c>
      <c r="O102" s="20" t="n">
        <f aca="false">IF(E102=0,"",F102/E102-1)</f>
        <v>0.0838100761714895</v>
      </c>
      <c r="P102" s="20" t="n">
        <f aca="false">IF(F102=0,"",G102/F102-1)</f>
        <v>0.0364969477964006</v>
      </c>
      <c r="Q102" s="20" t="n">
        <f aca="false">IF(G102=0,"",H102/G102-1)</f>
        <v>-0.130380716181035</v>
      </c>
      <c r="R102" s="20" t="n">
        <f aca="false">IF(H102=0,"",I102/H102-1)</f>
        <v>-0.0398778192359465</v>
      </c>
      <c r="S102" s="20" t="n">
        <f aca="false">IF(I102=0,"",J102/I102-1)</f>
        <v>0.131121488045483</v>
      </c>
      <c r="T102" s="20" t="n">
        <f aca="false">IF(J102=0,"",K102/J102-1)</f>
        <v>-0.0795073500625757</v>
      </c>
      <c r="U102" s="20" t="n">
        <f aca="false">IF(K102=0,"",L102/K102-1)</f>
        <v>0.0440522732057809</v>
      </c>
    </row>
    <row r="103" customFormat="false" ht="15" hidden="false" customHeight="false" outlineLevel="0" collapsed="false">
      <c r="A103" s="19" t="s">
        <v>181</v>
      </c>
      <c r="B103" s="22" t="s">
        <v>326</v>
      </c>
      <c r="C103" s="19" t="s">
        <v>327</v>
      </c>
      <c r="D103" s="52" t="n">
        <v>3630408</v>
      </c>
      <c r="E103" s="52" t="n">
        <v>4035690</v>
      </c>
      <c r="F103" s="52" t="n">
        <v>8051270</v>
      </c>
      <c r="G103" s="52" t="n">
        <v>10357550</v>
      </c>
      <c r="H103" s="52" t="n">
        <v>8196090</v>
      </c>
      <c r="I103" s="52" t="n">
        <v>7317000</v>
      </c>
      <c r="J103" s="52" t="n">
        <v>4207750</v>
      </c>
      <c r="K103" s="52" t="n">
        <v>3424510</v>
      </c>
      <c r="L103" s="52" t="n">
        <v>7218430</v>
      </c>
      <c r="M103" s="46" t="n">
        <f aca="false">SUM(D103:L103)</f>
        <v>56438698</v>
      </c>
      <c r="N103" s="20" t="n">
        <f aca="false">IF(D103=0,"",E103/D103-1)</f>
        <v>0.111635386435905</v>
      </c>
      <c r="O103" s="20" t="n">
        <f aca="false">IF(E103=0,"",F103/E103-1)</f>
        <v>0.995016961164014</v>
      </c>
      <c r="P103" s="20" t="n">
        <f aca="false">IF(F103=0,"",G103/F103-1)</f>
        <v>0.286449218570486</v>
      </c>
      <c r="Q103" s="20" t="n">
        <f aca="false">IF(G103=0,"",H103/G103-1)</f>
        <v>-0.20868448619606</v>
      </c>
      <c r="R103" s="20" t="n">
        <f aca="false">IF(H103=0,"",I103/H103-1)</f>
        <v>-0.107257240952698</v>
      </c>
      <c r="S103" s="20" t="n">
        <f aca="false">IF(I103=0,"",J103/I103-1)</f>
        <v>-0.42493508268416</v>
      </c>
      <c r="T103" s="20" t="n">
        <f aca="false">IF(J103=0,"",K103/J103-1)</f>
        <v>-0.186142237537877</v>
      </c>
      <c r="U103" s="20" t="n">
        <f aca="false">IF(K103=0,"",L103/K103-1)</f>
        <v>1.10787236714158</v>
      </c>
    </row>
    <row r="104" customFormat="false" ht="15" hidden="false" customHeight="false" outlineLevel="0" collapsed="false">
      <c r="A104" s="19" t="s">
        <v>181</v>
      </c>
      <c r="B104" s="22" t="s">
        <v>330</v>
      </c>
      <c r="C104" s="19" t="s">
        <v>331</v>
      </c>
      <c r="D104" s="52" t="n">
        <v>6046450</v>
      </c>
      <c r="E104" s="52" t="n">
        <v>6498940</v>
      </c>
      <c r="F104" s="52" t="n">
        <v>6325130</v>
      </c>
      <c r="G104" s="52" t="n">
        <v>9936520</v>
      </c>
      <c r="H104" s="52" t="n">
        <v>10210480</v>
      </c>
      <c r="I104" s="52" t="n">
        <v>10624050</v>
      </c>
      <c r="J104" s="52" t="n">
        <v>11656190</v>
      </c>
      <c r="K104" s="52" t="n">
        <v>9656300</v>
      </c>
      <c r="L104" s="52" t="n">
        <v>6103160</v>
      </c>
      <c r="M104" s="46" t="n">
        <f aca="false">SUM(D104:L104)</f>
        <v>77057220</v>
      </c>
      <c r="N104" s="20" t="n">
        <f aca="false">IF(D104=0,"",E104/D104-1)</f>
        <v>0.0748356473633289</v>
      </c>
      <c r="O104" s="20" t="n">
        <f aca="false">IF(E104=0,"",F104/E104-1)</f>
        <v>-0.0267443613881648</v>
      </c>
      <c r="P104" s="20" t="n">
        <f aca="false">IF(F104=0,"",G104/F104-1)</f>
        <v>0.570959015862125</v>
      </c>
      <c r="Q104" s="20" t="n">
        <f aca="false">IF(G104=0,"",H104/G104-1)</f>
        <v>0.0275710208402942</v>
      </c>
      <c r="R104" s="20" t="n">
        <f aca="false">IF(H104=0,"",I104/H104-1)</f>
        <v>0.040504462082096</v>
      </c>
      <c r="S104" s="20" t="n">
        <f aca="false">IF(I104=0,"",J104/I104-1)</f>
        <v>0.0971512747022088</v>
      </c>
      <c r="T104" s="20" t="n">
        <f aca="false">IF(J104=0,"",K104/J104-1)</f>
        <v>-0.171573215604756</v>
      </c>
      <c r="U104" s="20" t="n">
        <f aca="false">IF(K104=0,"",L104/K104-1)</f>
        <v>-0.367960813147893</v>
      </c>
    </row>
    <row r="105" customFormat="false" ht="15" hidden="false" customHeight="false" outlineLevel="0" collapsed="false">
      <c r="A105" s="19" t="s">
        <v>181</v>
      </c>
      <c r="B105" s="22" t="s">
        <v>294</v>
      </c>
      <c r="C105" s="19" t="s">
        <v>295</v>
      </c>
      <c r="D105" s="52" t="n">
        <v>25363421</v>
      </c>
      <c r="E105" s="52" t="n">
        <v>20445306</v>
      </c>
      <c r="F105" s="52" t="n">
        <v>23500350</v>
      </c>
      <c r="G105" s="52" t="n">
        <v>19182101</v>
      </c>
      <c r="H105" s="52" t="n">
        <v>22532823</v>
      </c>
      <c r="I105" s="52" t="n">
        <v>20178701</v>
      </c>
      <c r="J105" s="52" t="n">
        <v>16915125</v>
      </c>
      <c r="K105" s="52" t="n">
        <v>16262348</v>
      </c>
      <c r="L105" s="52" t="n">
        <v>21527190</v>
      </c>
      <c r="M105" s="46" t="n">
        <f aca="false">SUM(D105:L105)</f>
        <v>185907365</v>
      </c>
      <c r="N105" s="20" t="n">
        <f aca="false">IF(D105=0,"",E105/D105-1)</f>
        <v>-0.193905822089221</v>
      </c>
      <c r="O105" s="20" t="n">
        <f aca="false">IF(E105=0,"",F105/E105-1)</f>
        <v>0.149425203027042</v>
      </c>
      <c r="P105" s="20" t="n">
        <f aca="false">IF(F105=0,"",G105/F105-1)</f>
        <v>-0.183752539855789</v>
      </c>
      <c r="Q105" s="20" t="n">
        <f aca="false">IF(G105=0,"",H105/G105-1)</f>
        <v>0.174679614083984</v>
      </c>
      <c r="R105" s="20" t="n">
        <f aca="false">IF(H105=0,"",I105/H105-1)</f>
        <v>-0.104475235970211</v>
      </c>
      <c r="S105" s="20" t="n">
        <f aca="false">IF(I105=0,"",J105/I105-1)</f>
        <v>-0.161733701292269</v>
      </c>
      <c r="T105" s="20" t="n">
        <f aca="false">IF(J105=0,"",K105/J105-1)</f>
        <v>-0.0385913198986114</v>
      </c>
      <c r="U105" s="20" t="n">
        <f aca="false">IF(K105=0,"",L105/K105-1)</f>
        <v>0.323744271122473</v>
      </c>
    </row>
    <row r="106" customFormat="false" ht="15" hidden="false" customHeight="false" outlineLevel="0" collapsed="false">
      <c r="A106" s="19" t="s">
        <v>181</v>
      </c>
      <c r="B106" s="22" t="s">
        <v>247</v>
      </c>
      <c r="C106" s="19" t="s">
        <v>248</v>
      </c>
      <c r="D106" s="52" t="n">
        <v>90939958</v>
      </c>
      <c r="E106" s="52" t="n">
        <v>82873696</v>
      </c>
      <c r="F106" s="52" t="n">
        <v>90437437</v>
      </c>
      <c r="G106" s="52" t="n">
        <v>87457843</v>
      </c>
      <c r="H106" s="52" t="n">
        <v>83655026</v>
      </c>
      <c r="I106" s="52" t="n">
        <v>82925219</v>
      </c>
      <c r="J106" s="52" t="n">
        <v>77329090</v>
      </c>
      <c r="K106" s="52" t="n">
        <v>71109050</v>
      </c>
      <c r="L106" s="52" t="n">
        <v>71746330</v>
      </c>
      <c r="M106" s="46" t="n">
        <f aca="false">SUM(D106:L106)</f>
        <v>738473649</v>
      </c>
      <c r="N106" s="20" t="n">
        <f aca="false">IF(D106=0,"",E106/D106-1)</f>
        <v>-0.0886987653985941</v>
      </c>
      <c r="O106" s="20" t="n">
        <f aca="false">IF(E106=0,"",F106/E106-1)</f>
        <v>0.091268295793155</v>
      </c>
      <c r="P106" s="20" t="n">
        <f aca="false">IF(F106=0,"",G106/F106-1)</f>
        <v>-0.0329464666275316</v>
      </c>
      <c r="Q106" s="20" t="n">
        <f aca="false">IF(G106=0,"",H106/G106-1)</f>
        <v>-0.0434817149560847</v>
      </c>
      <c r="R106" s="20" t="n">
        <f aca="false">IF(H106=0,"",I106/H106-1)</f>
        <v>-0.00872400661258532</v>
      </c>
      <c r="S106" s="20" t="n">
        <f aca="false">IF(I106=0,"",J106/I106-1)</f>
        <v>-0.0674840424599904</v>
      </c>
      <c r="T106" s="20" t="n">
        <f aca="false">IF(J106=0,"",K106/J106-1)</f>
        <v>-0.080435965301027</v>
      </c>
      <c r="U106" s="20" t="n">
        <f aca="false">IF(K106=0,"",L106/K106-1)</f>
        <v>0.00896200975825168</v>
      </c>
    </row>
    <row r="107" customFormat="false" ht="15" hidden="false" customHeight="false" outlineLevel="0" collapsed="false">
      <c r="A107" s="19" t="s">
        <v>181</v>
      </c>
      <c r="B107" s="22" t="s">
        <v>286</v>
      </c>
      <c r="C107" s="19" t="s">
        <v>287</v>
      </c>
      <c r="D107" s="52" t="n">
        <v>19140040</v>
      </c>
      <c r="E107" s="52" t="n">
        <v>15950040</v>
      </c>
      <c r="F107" s="52" t="n">
        <v>18004860</v>
      </c>
      <c r="G107" s="52" t="n">
        <v>19643460</v>
      </c>
      <c r="H107" s="52" t="n">
        <v>24348220</v>
      </c>
      <c r="I107" s="52" t="n">
        <v>21153970</v>
      </c>
      <c r="J107" s="52" t="n">
        <v>24948040</v>
      </c>
      <c r="K107" s="52" t="n">
        <v>25362840</v>
      </c>
      <c r="L107" s="52" t="n">
        <v>20104560</v>
      </c>
      <c r="M107" s="46" t="n">
        <f aca="false">SUM(D107:L107)</f>
        <v>188656030</v>
      </c>
      <c r="N107" s="20" t="n">
        <f aca="false">IF(D107=0,"",E107/D107-1)</f>
        <v>-0.166666318356701</v>
      </c>
      <c r="O107" s="20" t="n">
        <f aca="false">IF(E107=0,"",F107/E107-1)</f>
        <v>0.128828517044471</v>
      </c>
      <c r="P107" s="20" t="n">
        <f aca="false">IF(F107=0,"",G107/F107-1)</f>
        <v>0.091008760967872</v>
      </c>
      <c r="Q107" s="20" t="n">
        <f aca="false">IF(G107=0,"",H107/G107-1)</f>
        <v>0.23950770383629</v>
      </c>
      <c r="R107" s="20" t="n">
        <f aca="false">IF(H107=0,"",I107/H107-1)</f>
        <v>-0.131190288242837</v>
      </c>
      <c r="S107" s="20" t="n">
        <f aca="false">IF(I107=0,"",J107/I107-1)</f>
        <v>0.179354986321717</v>
      </c>
      <c r="T107" s="20" t="n">
        <f aca="false">IF(J107=0,"",K107/J107-1)</f>
        <v>0.0166265566353108</v>
      </c>
      <c r="U107" s="20" t="n">
        <f aca="false">IF(K107=0,"",L107/K107-1)</f>
        <v>-0.207322208396221</v>
      </c>
    </row>
    <row r="108" customFormat="false" ht="15" hidden="false" customHeight="false" outlineLevel="0" collapsed="false">
      <c r="A108" s="19" t="s">
        <v>181</v>
      </c>
      <c r="B108" s="22" t="s">
        <v>342</v>
      </c>
      <c r="C108" s="19" t="s">
        <v>343</v>
      </c>
      <c r="D108" s="52" t="n">
        <v>3685139</v>
      </c>
      <c r="E108" s="52" t="n">
        <v>3341004</v>
      </c>
      <c r="F108" s="52" t="n">
        <v>4083947</v>
      </c>
      <c r="G108" s="52" t="n">
        <v>3236026</v>
      </c>
      <c r="H108" s="52" t="n">
        <v>3254975</v>
      </c>
      <c r="I108" s="52" t="n">
        <v>2716852</v>
      </c>
      <c r="J108" s="52" t="n">
        <v>3167362</v>
      </c>
      <c r="K108" s="52" t="n">
        <v>4151645</v>
      </c>
      <c r="L108" s="52" t="n">
        <v>2043536</v>
      </c>
      <c r="M108" s="46" t="n">
        <f aca="false">SUM(D108:L108)</f>
        <v>29680486</v>
      </c>
      <c r="N108" s="20" t="n">
        <f aca="false">IF(D108=0,"",E108/D108-1)</f>
        <v>-0.0933845371911345</v>
      </c>
      <c r="O108" s="20" t="n">
        <f aca="false">IF(E108=0,"",F108/E108-1)</f>
        <v>0.222371179441868</v>
      </c>
      <c r="P108" s="20" t="n">
        <f aca="false">IF(F108=0,"",G108/F108-1)</f>
        <v>-0.207622919690192</v>
      </c>
      <c r="Q108" s="20" t="n">
        <f aca="false">IF(G108=0,"",H108/G108-1)</f>
        <v>0.00585563898435915</v>
      </c>
      <c r="R108" s="20" t="n">
        <f aca="false">IF(H108=0,"",I108/H108-1)</f>
        <v>-0.165323235969554</v>
      </c>
      <c r="S108" s="20" t="n">
        <f aca="false">IF(I108=0,"",J108/I108-1)</f>
        <v>0.165820589417458</v>
      </c>
      <c r="T108" s="20" t="n">
        <f aca="false">IF(J108=0,"",K108/J108-1)</f>
        <v>0.310757974617363</v>
      </c>
      <c r="U108" s="20" t="n">
        <f aca="false">IF(K108=0,"",L108/K108-1)</f>
        <v>-0.507776796908213</v>
      </c>
    </row>
    <row r="109" customFormat="false" ht="15" hidden="false" customHeight="false" outlineLevel="0" collapsed="false">
      <c r="A109" s="19" t="s">
        <v>181</v>
      </c>
      <c r="B109" s="22" t="s">
        <v>344</v>
      </c>
      <c r="C109" s="19" t="s">
        <v>345</v>
      </c>
      <c r="D109" s="52" t="n">
        <v>1757200</v>
      </c>
      <c r="E109" s="52" t="n">
        <v>1248410</v>
      </c>
      <c r="F109" s="52" t="n">
        <v>1246370</v>
      </c>
      <c r="G109" s="52" t="n">
        <v>1201420</v>
      </c>
      <c r="H109" s="52" t="n">
        <v>1657940</v>
      </c>
      <c r="I109" s="52" t="n">
        <v>1090350</v>
      </c>
      <c r="J109" s="52" t="n">
        <v>1360380</v>
      </c>
      <c r="K109" s="52" t="n">
        <v>1152760</v>
      </c>
      <c r="L109" s="52" t="n">
        <v>1241040</v>
      </c>
      <c r="M109" s="46" t="n">
        <f aca="false">SUM(D109:L109)</f>
        <v>11955870</v>
      </c>
      <c r="N109" s="20" t="n">
        <f aca="false">IF(D109=0,"",E109/D109-1)</f>
        <v>-0.289545868427043</v>
      </c>
      <c r="O109" s="20" t="n">
        <f aca="false">IF(E109=0,"",F109/E109-1)</f>
        <v>-0.00163407854791298</v>
      </c>
      <c r="P109" s="20" t="n">
        <f aca="false">IF(F109=0,"",G109/F109-1)</f>
        <v>-0.0360647319816748</v>
      </c>
      <c r="Q109" s="20" t="n">
        <f aca="false">IF(G109=0,"",H109/G109-1)</f>
        <v>0.3799836859716</v>
      </c>
      <c r="R109" s="20" t="n">
        <f aca="false">IF(H109=0,"",I109/H109-1)</f>
        <v>-0.342346526412295</v>
      </c>
      <c r="S109" s="20" t="n">
        <f aca="false">IF(I109=0,"",J109/I109-1)</f>
        <v>0.247654422891732</v>
      </c>
      <c r="T109" s="20" t="n">
        <f aca="false">IF(J109=0,"",K109/J109-1)</f>
        <v>-0.15261912112792</v>
      </c>
      <c r="U109" s="20" t="n">
        <f aca="false">IF(K109=0,"",L109/K109-1)</f>
        <v>0.0765814219785559</v>
      </c>
    </row>
    <row r="110" customFormat="false" ht="15" hidden="false" customHeight="false" outlineLevel="0" collapsed="false">
      <c r="A110" s="19" t="s">
        <v>181</v>
      </c>
      <c r="B110" s="22" t="s">
        <v>280</v>
      </c>
      <c r="C110" s="19" t="s">
        <v>281</v>
      </c>
      <c r="D110" s="52" t="n">
        <v>27172638</v>
      </c>
      <c r="E110" s="52" t="n">
        <v>26309774</v>
      </c>
      <c r="F110" s="52" t="n">
        <v>26795997</v>
      </c>
      <c r="G110" s="52" t="n">
        <v>29957291</v>
      </c>
      <c r="H110" s="52" t="n">
        <v>28921384</v>
      </c>
      <c r="I110" s="52" t="n">
        <v>31183150</v>
      </c>
      <c r="J110" s="52" t="n">
        <v>30218272</v>
      </c>
      <c r="K110" s="52" t="n">
        <v>29004174</v>
      </c>
      <c r="L110" s="52" t="n">
        <v>27628053</v>
      </c>
      <c r="M110" s="46" t="n">
        <f aca="false">SUM(D110:L110)</f>
        <v>257190733</v>
      </c>
      <c r="N110" s="20" t="n">
        <f aca="false">IF(D110=0,"",E110/D110-1)</f>
        <v>-0.0317548851900209</v>
      </c>
      <c r="O110" s="20" t="n">
        <f aca="false">IF(E110=0,"",F110/E110-1)</f>
        <v>0.0184806984659009</v>
      </c>
      <c r="P110" s="20" t="n">
        <f aca="false">IF(F110=0,"",G110/F110-1)</f>
        <v>0.117976352960481</v>
      </c>
      <c r="Q110" s="20" t="n">
        <f aca="false">IF(G110=0,"",H110/G110-1)</f>
        <v>-0.0345794618078117</v>
      </c>
      <c r="R110" s="20" t="n">
        <f aca="false">IF(H110=0,"",I110/H110-1)</f>
        <v>0.0782039338089768</v>
      </c>
      <c r="S110" s="20" t="n">
        <f aca="false">IF(I110=0,"",J110/I110-1)</f>
        <v>-0.0309422877419375</v>
      </c>
      <c r="T110" s="20" t="n">
        <f aca="false">IF(J110=0,"",K110/J110-1)</f>
        <v>-0.0401776117443116</v>
      </c>
      <c r="U110" s="20" t="n">
        <f aca="false">IF(K110=0,"",L110/K110-1)</f>
        <v>-0.0474456193787832</v>
      </c>
    </row>
    <row r="111" customFormat="false" ht="15" hidden="false" customHeight="false" outlineLevel="0" collapsed="false">
      <c r="A111" s="19" t="s">
        <v>181</v>
      </c>
      <c r="B111" s="22" t="s">
        <v>346</v>
      </c>
      <c r="C111" s="19" t="s">
        <v>347</v>
      </c>
      <c r="D111" s="52" t="n">
        <v>1246230</v>
      </c>
      <c r="E111" s="52" t="n">
        <v>1333120</v>
      </c>
      <c r="F111" s="52" t="n">
        <v>1151080</v>
      </c>
      <c r="G111" s="52" t="n">
        <v>1042990</v>
      </c>
      <c r="H111" s="52" t="n">
        <v>1204900</v>
      </c>
      <c r="I111" s="52" t="n">
        <v>1395820</v>
      </c>
      <c r="J111" s="52" t="n">
        <v>1190450</v>
      </c>
      <c r="K111" s="52" t="n">
        <v>1419570</v>
      </c>
      <c r="L111" s="52" t="n">
        <v>1004700</v>
      </c>
      <c r="M111" s="46" t="n">
        <f aca="false">SUM(D111:L111)</f>
        <v>10988860</v>
      </c>
      <c r="N111" s="20" t="n">
        <f aca="false">IF(D111=0,"",E111/D111-1)</f>
        <v>0.0697222824037296</v>
      </c>
      <c r="O111" s="20" t="n">
        <f aca="false">IF(E111=0,"",F111/E111-1)</f>
        <v>-0.136551848295727</v>
      </c>
      <c r="P111" s="20" t="n">
        <f aca="false">IF(F111=0,"",G111/F111-1)</f>
        <v>-0.0939031170726622</v>
      </c>
      <c r="Q111" s="20" t="n">
        <f aca="false">IF(G111=0,"",H111/G111-1)</f>
        <v>0.155236387693075</v>
      </c>
      <c r="R111" s="20" t="n">
        <f aca="false">IF(H111=0,"",I111/H111-1)</f>
        <v>0.158452983650095</v>
      </c>
      <c r="S111" s="20" t="n">
        <f aca="false">IF(I111=0,"",J111/I111-1)</f>
        <v>-0.147132151710106</v>
      </c>
      <c r="T111" s="20" t="n">
        <f aca="false">IF(J111=0,"",K111/J111-1)</f>
        <v>0.192465034230753</v>
      </c>
      <c r="U111" s="20" t="n">
        <f aca="false">IF(K111=0,"",L111/K111-1)</f>
        <v>-0.292250470212811</v>
      </c>
    </row>
    <row r="112" customFormat="false" ht="15" hidden="false" customHeight="false" outlineLevel="0" collapsed="false">
      <c r="A112" s="19" t="s">
        <v>181</v>
      </c>
      <c r="B112" s="22" t="s">
        <v>406</v>
      </c>
      <c r="C112" s="19" t="s">
        <v>407</v>
      </c>
      <c r="D112" s="52" t="n">
        <v>2348770</v>
      </c>
      <c r="E112" s="52" t="n">
        <v>2107811</v>
      </c>
      <c r="F112" s="52" t="n">
        <v>2405978</v>
      </c>
      <c r="G112" s="52" t="n">
        <v>2211840</v>
      </c>
      <c r="H112" s="52" t="n">
        <v>470930</v>
      </c>
      <c r="I112" s="52" t="n">
        <v>707800</v>
      </c>
      <c r="J112" s="52" t="n">
        <v>0</v>
      </c>
      <c r="K112" s="52" t="n">
        <v>0</v>
      </c>
      <c r="L112" s="52" t="n">
        <v>0</v>
      </c>
      <c r="M112" s="46" t="n">
        <f aca="false">SUM(D112:L112)</f>
        <v>10253129</v>
      </c>
      <c r="N112" s="20" t="n">
        <f aca="false">IF(D112=0,"",E112/D112-1)</f>
        <v>-0.102589440430523</v>
      </c>
      <c r="O112" s="20" t="n">
        <f aca="false">IF(E112=0,"",F112/E112-1)</f>
        <v>0.141458128836029</v>
      </c>
      <c r="P112" s="20" t="n">
        <f aca="false">IF(F112=0,"",G112/F112-1)</f>
        <v>-0.0806898483693533</v>
      </c>
      <c r="Q112" s="20" t="n">
        <f aca="false">IF(G112=0,"",H112/G112-1)</f>
        <v>-0.787086769386574</v>
      </c>
      <c r="R112" s="20" t="n">
        <f aca="false">IF(H112=0,"",I112/H112-1)</f>
        <v>0.502983458263436</v>
      </c>
      <c r="S112" s="20" t="n">
        <f aca="false">IF(I112=0,"",J112/I112-1)</f>
        <v>-1</v>
      </c>
      <c r="T112" s="20" t="str">
        <f aca="false">IF(J112=0,"",K112/J112-1)</f>
        <v/>
      </c>
      <c r="U112" s="20" t="str">
        <f aca="false">IF(K112=0,"",L112/K112-1)</f>
        <v/>
      </c>
    </row>
    <row r="113" customFormat="false" ht="15" hidden="false" customHeight="false" outlineLevel="0" collapsed="false">
      <c r="A113" s="19" t="s">
        <v>181</v>
      </c>
      <c r="B113" s="22" t="s">
        <v>352</v>
      </c>
      <c r="C113" s="19" t="s">
        <v>353</v>
      </c>
      <c r="D113" s="52" t="n">
        <v>3254380</v>
      </c>
      <c r="E113" s="52" t="n">
        <v>2852770</v>
      </c>
      <c r="F113" s="52" t="n">
        <v>2519940</v>
      </c>
      <c r="G113" s="52" t="n">
        <v>3291830</v>
      </c>
      <c r="H113" s="52" t="n">
        <v>2717460</v>
      </c>
      <c r="I113" s="52" t="n">
        <v>2006940</v>
      </c>
      <c r="J113" s="52" t="n">
        <v>1139600</v>
      </c>
      <c r="K113" s="52" t="n">
        <v>872710</v>
      </c>
      <c r="L113" s="52" t="n">
        <v>937760</v>
      </c>
      <c r="M113" s="46" t="n">
        <f aca="false">SUM(D113:L113)</f>
        <v>19593390</v>
      </c>
      <c r="N113" s="20" t="n">
        <f aca="false">IF(D113=0,"",E113/D113-1)</f>
        <v>-0.123405994382955</v>
      </c>
      <c r="O113" s="20" t="n">
        <f aca="false">IF(E113=0,"",F113/E113-1)</f>
        <v>-0.11666906199939</v>
      </c>
      <c r="P113" s="20" t="n">
        <f aca="false">IF(F113=0,"",G113/F113-1)</f>
        <v>0.30631284871862</v>
      </c>
      <c r="Q113" s="20" t="n">
        <f aca="false">IF(G113=0,"",H113/G113-1)</f>
        <v>-0.17448349398359</v>
      </c>
      <c r="R113" s="20" t="n">
        <f aca="false">IF(H113=0,"",I113/H113-1)</f>
        <v>-0.261464750171116</v>
      </c>
      <c r="S113" s="20" t="n">
        <f aca="false">IF(I113=0,"",J113/I113-1)</f>
        <v>-0.432170368820194</v>
      </c>
      <c r="T113" s="20" t="n">
        <f aca="false">IF(J113=0,"",K113/J113-1)</f>
        <v>-0.234196209196209</v>
      </c>
      <c r="U113" s="20" t="n">
        <f aca="false">IF(K113=0,"",L113/K113-1)</f>
        <v>0.0745379335632685</v>
      </c>
    </row>
    <row r="114" customFormat="false" ht="15" hidden="false" customHeight="false" outlineLevel="0" collapsed="false">
      <c r="A114" s="19" t="s">
        <v>181</v>
      </c>
      <c r="B114" s="22" t="s">
        <v>310</v>
      </c>
      <c r="C114" s="19" t="s">
        <v>311</v>
      </c>
      <c r="D114" s="52" t="n">
        <v>3046562</v>
      </c>
      <c r="E114" s="52" t="n">
        <v>2151300</v>
      </c>
      <c r="F114" s="52" t="n">
        <v>4752750</v>
      </c>
      <c r="G114" s="52" t="n">
        <v>3458756</v>
      </c>
      <c r="H114" s="52" t="n">
        <v>6828916</v>
      </c>
      <c r="I114" s="52" t="n">
        <v>11988361</v>
      </c>
      <c r="J114" s="52" t="n">
        <v>14162820</v>
      </c>
      <c r="K114" s="52" t="n">
        <v>13139318</v>
      </c>
      <c r="L114" s="52" t="n">
        <v>13470910</v>
      </c>
      <c r="M114" s="46" t="n">
        <f aca="false">SUM(D114:L114)</f>
        <v>72999693</v>
      </c>
      <c r="N114" s="20" t="n">
        <f aca="false">IF(D114=0,"",E114/D114-1)</f>
        <v>-0.293859767173621</v>
      </c>
      <c r="O114" s="20" t="n">
        <f aca="false">IF(E114=0,"",F114/E114-1)</f>
        <v>1.20924557244457</v>
      </c>
      <c r="P114" s="20" t="n">
        <f aca="false">IF(F114=0,"",G114/F114-1)</f>
        <v>-0.27226216401031</v>
      </c>
      <c r="Q114" s="20" t="n">
        <f aca="false">IF(G114=0,"",H114/G114-1)</f>
        <v>0.974385010101898</v>
      </c>
      <c r="R114" s="20" t="n">
        <f aca="false">IF(H114=0,"",I114/H114-1)</f>
        <v>0.75552913522439</v>
      </c>
      <c r="S114" s="20" t="n">
        <f aca="false">IF(I114=0,"",J114/I114-1)</f>
        <v>0.181380840967335</v>
      </c>
      <c r="T114" s="20" t="n">
        <f aca="false">IF(J114=0,"",K114/J114-1)</f>
        <v>-0.0722668225678219</v>
      </c>
      <c r="U114" s="20" t="n">
        <f aca="false">IF(K114=0,"",L114/K114-1)</f>
        <v>0.0252366218703284</v>
      </c>
    </row>
    <row r="115" customFormat="false" ht="15" hidden="false" customHeight="false" outlineLevel="0" collapsed="false">
      <c r="A115" s="19" t="s">
        <v>181</v>
      </c>
      <c r="B115" s="22" t="s">
        <v>350</v>
      </c>
      <c r="C115" s="19" t="s">
        <v>351</v>
      </c>
      <c r="D115" s="52" t="n">
        <v>1125000</v>
      </c>
      <c r="E115" s="52" t="n">
        <v>1312030</v>
      </c>
      <c r="F115" s="52" t="n">
        <v>1487800</v>
      </c>
      <c r="G115" s="52" t="n">
        <v>912000</v>
      </c>
      <c r="H115" s="52" t="n">
        <v>1270850</v>
      </c>
      <c r="I115" s="52" t="n">
        <v>1193000</v>
      </c>
      <c r="J115" s="52" t="n">
        <v>1221760</v>
      </c>
      <c r="K115" s="52" t="n">
        <v>950000</v>
      </c>
      <c r="L115" s="52" t="n">
        <v>1216000</v>
      </c>
      <c r="M115" s="46" t="n">
        <f aca="false">SUM(D115:L115)</f>
        <v>10688440</v>
      </c>
      <c r="N115" s="20" t="n">
        <f aca="false">IF(D115=0,"",E115/D115-1)</f>
        <v>0.166248888888889</v>
      </c>
      <c r="O115" s="20" t="n">
        <f aca="false">IF(E115=0,"",F115/E115-1)</f>
        <v>0.133967973293294</v>
      </c>
      <c r="P115" s="20" t="n">
        <f aca="false">IF(F115=0,"",G115/F115-1)</f>
        <v>-0.387014383653717</v>
      </c>
      <c r="Q115" s="20" t="n">
        <f aca="false">IF(G115=0,"",H115/G115-1)</f>
        <v>0.393475877192983</v>
      </c>
      <c r="R115" s="20" t="n">
        <f aca="false">IF(H115=0,"",I115/H115-1)</f>
        <v>-0.0612582130070425</v>
      </c>
      <c r="S115" s="20" t="n">
        <f aca="false">IF(I115=0,"",J115/I115-1)</f>
        <v>0.0241072925398156</v>
      </c>
      <c r="T115" s="20" t="n">
        <f aca="false">IF(J115=0,"",K115/J115-1)</f>
        <v>-0.222433211105291</v>
      </c>
      <c r="U115" s="20" t="n">
        <f aca="false">IF(K115=0,"",L115/K115-1)</f>
        <v>0.28</v>
      </c>
    </row>
    <row r="116" customFormat="false" ht="15" hidden="false" customHeight="false" outlineLevel="0" collapsed="false">
      <c r="A116" s="19" t="s">
        <v>181</v>
      </c>
      <c r="B116" s="22" t="s">
        <v>408</v>
      </c>
      <c r="C116" s="22" t="s">
        <v>409</v>
      </c>
      <c r="D116" s="52" t="n">
        <v>2235406</v>
      </c>
      <c r="E116" s="52" t="n">
        <v>1488940</v>
      </c>
      <c r="F116" s="52" t="n">
        <v>303040</v>
      </c>
      <c r="G116" s="52" t="n">
        <v>507124</v>
      </c>
      <c r="H116" s="52" t="n">
        <v>324590</v>
      </c>
      <c r="I116" s="52" t="n">
        <v>200713</v>
      </c>
      <c r="J116" s="52" t="n">
        <v>0</v>
      </c>
      <c r="K116" s="52" t="n">
        <v>0</v>
      </c>
      <c r="L116" s="52" t="n">
        <v>0</v>
      </c>
      <c r="M116" s="46" t="n">
        <f aca="false">SUM(D116:L116)</f>
        <v>5059813</v>
      </c>
      <c r="N116" s="20" t="n">
        <f aca="false">IF(D116=0,"",E116/D116-1)</f>
        <v>-0.333928601784195</v>
      </c>
      <c r="O116" s="20" t="n">
        <f aca="false">IF(E116=0,"",F116/E116-1)</f>
        <v>-0.796472658401279</v>
      </c>
      <c r="P116" s="20" t="n">
        <f aca="false">IF(F116=0,"",G116/F116-1)</f>
        <v>0.673455649419219</v>
      </c>
      <c r="Q116" s="20" t="n">
        <f aca="false">IF(G116=0,"",H116/G116-1)</f>
        <v>-0.35993958085202</v>
      </c>
      <c r="R116" s="20" t="n">
        <f aca="false">IF(H116=0,"",I116/H116-1)</f>
        <v>-0.381641455374472</v>
      </c>
      <c r="S116" s="20" t="n">
        <f aca="false">IF(I116=0,"",J116/I116-1)</f>
        <v>-1</v>
      </c>
      <c r="T116" s="20" t="str">
        <f aca="false">IF(J116=0,"",K116/J116-1)</f>
        <v/>
      </c>
      <c r="U116" s="20" t="str">
        <f aca="false">IF(K116=0,"",L116/K116-1)</f>
        <v/>
      </c>
    </row>
    <row r="117" customFormat="false" ht="15" hidden="false" customHeight="false" outlineLevel="0" collapsed="false">
      <c r="A117" s="19" t="s">
        <v>181</v>
      </c>
      <c r="B117" s="22" t="s">
        <v>302</v>
      </c>
      <c r="C117" s="22" t="s">
        <v>303</v>
      </c>
      <c r="D117" s="52" t="n">
        <v>24423740</v>
      </c>
      <c r="E117" s="52" t="n">
        <v>20415200</v>
      </c>
      <c r="F117" s="52" t="n">
        <v>21476210</v>
      </c>
      <c r="G117" s="52" t="n">
        <v>20681770</v>
      </c>
      <c r="H117" s="52" t="n">
        <v>20784040</v>
      </c>
      <c r="I117" s="52" t="n">
        <v>19716670</v>
      </c>
      <c r="J117" s="52" t="n">
        <v>20331120</v>
      </c>
      <c r="K117" s="52" t="n">
        <v>18330760</v>
      </c>
      <c r="L117" s="52" t="n">
        <v>17911440</v>
      </c>
      <c r="M117" s="46" t="n">
        <f aca="false">SUM(D117:L117)</f>
        <v>184070950</v>
      </c>
      <c r="N117" s="20" t="n">
        <f aca="false">IF(D117=0,"",E117/D117-1)</f>
        <v>-0.164124740928294</v>
      </c>
      <c r="O117" s="20" t="n">
        <f aca="false">IF(E117=0,"",F117/E117-1)</f>
        <v>0.0519715702025942</v>
      </c>
      <c r="P117" s="20" t="n">
        <f aca="false">IF(F117=0,"",G117/F117-1)</f>
        <v>-0.0369916293424212</v>
      </c>
      <c r="Q117" s="20" t="n">
        <f aca="false">IF(G117=0,"",H117/G117-1)</f>
        <v>0.00494493459699052</v>
      </c>
      <c r="R117" s="20" t="n">
        <f aca="false">IF(H117=0,"",I117/H117-1)</f>
        <v>-0.0513552706788478</v>
      </c>
      <c r="S117" s="20" t="n">
        <f aca="false">IF(I117=0,"",J117/I117-1)</f>
        <v>0.031163984587661</v>
      </c>
      <c r="T117" s="20" t="n">
        <f aca="false">IF(J117=0,"",K117/J117-1)</f>
        <v>-0.0983890705480072</v>
      </c>
      <c r="U117" s="20" t="n">
        <f aca="false">IF(K117=0,"",L117/K117-1)</f>
        <v>-0.0228752108477772</v>
      </c>
    </row>
    <row r="118" customFormat="false" ht="15" hidden="false" customHeight="false" outlineLevel="0" collapsed="false">
      <c r="A118" s="19" t="s">
        <v>181</v>
      </c>
      <c r="B118" s="22" t="s">
        <v>356</v>
      </c>
      <c r="C118" s="22" t="s">
        <v>357</v>
      </c>
      <c r="D118" s="52" t="n">
        <v>48870</v>
      </c>
      <c r="E118" s="52" t="n">
        <v>205760</v>
      </c>
      <c r="F118" s="52" t="n">
        <v>232800</v>
      </c>
      <c r="G118" s="52" t="n">
        <v>0</v>
      </c>
      <c r="H118" s="52" t="n">
        <v>261110</v>
      </c>
      <c r="I118" s="52" t="n">
        <v>0</v>
      </c>
      <c r="J118" s="52" t="n">
        <v>279150</v>
      </c>
      <c r="K118" s="52" t="n">
        <v>0</v>
      </c>
      <c r="L118" s="52" t="n">
        <v>249400</v>
      </c>
      <c r="M118" s="46" t="n">
        <f aca="false">SUM(D118:L118)</f>
        <v>1277090</v>
      </c>
      <c r="N118" s="20" t="n">
        <f aca="false">IF(D118=0,"",E118/D118-1)</f>
        <v>3.21035400040925</v>
      </c>
      <c r="O118" s="20" t="n">
        <f aca="false">IF(E118=0,"",F118/E118-1)</f>
        <v>0.131415241057543</v>
      </c>
      <c r="P118" s="20" t="n">
        <f aca="false">IF(F118=0,"",G118/F118-1)</f>
        <v>-1</v>
      </c>
      <c r="Q118" s="20" t="str">
        <f aca="false">IF(G118=0,"",H118/G118-1)</f>
        <v/>
      </c>
      <c r="R118" s="20" t="n">
        <f aca="false">IF(H118=0,"",I118/H118-1)</f>
        <v>-1</v>
      </c>
      <c r="S118" s="20" t="str">
        <f aca="false">IF(I118=0,"",J118/I118-1)</f>
        <v/>
      </c>
      <c r="T118" s="20" t="n">
        <f aca="false">IF(J118=0,"",K118/J118-1)</f>
        <v>-1</v>
      </c>
      <c r="U118" s="20" t="str">
        <f aca="false">IF(K118=0,"",L118/K118-1)</f>
        <v/>
      </c>
    </row>
    <row r="119" customFormat="false" ht="15" hidden="false" customHeight="false" outlineLevel="0" collapsed="false">
      <c r="A119" s="19" t="s">
        <v>181</v>
      </c>
      <c r="B119" s="22" t="s">
        <v>312</v>
      </c>
      <c r="C119" s="22" t="s">
        <v>313</v>
      </c>
      <c r="D119" s="52" t="n">
        <v>11085400</v>
      </c>
      <c r="E119" s="52" t="n">
        <v>11759080</v>
      </c>
      <c r="F119" s="52" t="n">
        <v>13245020</v>
      </c>
      <c r="G119" s="52" t="n">
        <v>11064650</v>
      </c>
      <c r="H119" s="52" t="n">
        <v>12240700</v>
      </c>
      <c r="I119" s="52" t="n">
        <v>7585220</v>
      </c>
      <c r="J119" s="52" t="n">
        <v>9057180</v>
      </c>
      <c r="K119" s="52" t="n">
        <v>8915440</v>
      </c>
      <c r="L119" s="52" t="n">
        <v>11605480</v>
      </c>
      <c r="M119" s="46" t="n">
        <f aca="false">SUM(D119:L119)</f>
        <v>96558170</v>
      </c>
      <c r="N119" s="20" t="n">
        <f aca="false">IF(D119=0,"",E119/D119-1)</f>
        <v>0.0607718260053765</v>
      </c>
      <c r="O119" s="20" t="n">
        <f aca="false">IF(E119=0,"",F119/E119-1)</f>
        <v>0.126365327899802</v>
      </c>
      <c r="P119" s="20" t="n">
        <f aca="false">IF(F119=0,"",G119/F119-1)</f>
        <v>-0.164618097971917</v>
      </c>
      <c r="Q119" s="20" t="n">
        <f aca="false">IF(G119=0,"",H119/G119-1)</f>
        <v>0.106288947232854</v>
      </c>
      <c r="R119" s="20" t="n">
        <f aca="false">IF(H119=0,"",I119/H119-1)</f>
        <v>-0.380327922422737</v>
      </c>
      <c r="S119" s="20" t="n">
        <f aca="false">IF(I119=0,"",J119/I119-1)</f>
        <v>0.19405633587424</v>
      </c>
      <c r="T119" s="20" t="n">
        <f aca="false">IF(J119=0,"",K119/J119-1)</f>
        <v>-0.0156494626362731</v>
      </c>
      <c r="U119" s="20" t="n">
        <f aca="false">IF(K119=0,"",L119/K119-1)</f>
        <v>0.301728237753829</v>
      </c>
    </row>
    <row r="120" customFormat="false" ht="15" hidden="false" customHeight="false" outlineLevel="0" collapsed="false">
      <c r="A120" s="19" t="s">
        <v>181</v>
      </c>
      <c r="B120" s="22" t="s">
        <v>320</v>
      </c>
      <c r="C120" s="19" t="s">
        <v>321</v>
      </c>
      <c r="D120" s="52" t="n">
        <v>10698192</v>
      </c>
      <c r="E120" s="52" t="n">
        <v>10433333</v>
      </c>
      <c r="F120" s="52" t="n">
        <v>7846115</v>
      </c>
      <c r="G120" s="52" t="n">
        <v>9600400</v>
      </c>
      <c r="H120" s="52" t="n">
        <v>8569560</v>
      </c>
      <c r="I120" s="52" t="n">
        <v>6774050</v>
      </c>
      <c r="J120" s="52" t="n">
        <v>10328296</v>
      </c>
      <c r="K120" s="52" t="n">
        <v>7220072</v>
      </c>
      <c r="L120" s="52" t="n">
        <v>10583122</v>
      </c>
      <c r="M120" s="46" t="n">
        <f aca="false">SUM(D120:L120)</f>
        <v>82053140</v>
      </c>
      <c r="N120" s="20" t="n">
        <f aca="false">IF(D120=0,"",E120/D120-1)</f>
        <v>-0.0247573608699488</v>
      </c>
      <c r="O120" s="20" t="n">
        <f aca="false">IF(E120=0,"",F120/E120-1)</f>
        <v>-0.247976174056747</v>
      </c>
      <c r="P120" s="20" t="n">
        <f aca="false">IF(F120=0,"",G120/F120-1)</f>
        <v>0.223586450109385</v>
      </c>
      <c r="Q120" s="20" t="n">
        <f aca="false">IF(G120=0,"",H120/G120-1)</f>
        <v>-0.107374692721137</v>
      </c>
      <c r="R120" s="20" t="n">
        <f aca="false">IF(H120=0,"",I120/H120-1)</f>
        <v>-0.209521842428316</v>
      </c>
      <c r="S120" s="20" t="n">
        <f aca="false">IF(I120=0,"",J120/I120-1)</f>
        <v>0.524685527859995</v>
      </c>
      <c r="T120" s="20" t="n">
        <f aca="false">IF(J120=0,"",K120/J120-1)</f>
        <v>-0.300942575619444</v>
      </c>
      <c r="U120" s="20" t="n">
        <f aca="false">IF(K120=0,"",L120/K120-1)</f>
        <v>0.465791753877247</v>
      </c>
    </row>
    <row r="121" customFormat="false" ht="15" hidden="false" customHeight="false" outlineLevel="0" collapsed="false">
      <c r="A121" s="19" t="s">
        <v>181</v>
      </c>
      <c r="B121" s="22" t="s">
        <v>410</v>
      </c>
      <c r="C121" s="22" t="s">
        <v>411</v>
      </c>
      <c r="D121" s="52" t="n">
        <v>8121252</v>
      </c>
      <c r="E121" s="52" t="n">
        <v>6477810</v>
      </c>
      <c r="F121" s="52" t="n">
        <v>9821921</v>
      </c>
      <c r="G121" s="52" t="n">
        <v>3325448</v>
      </c>
      <c r="H121" s="52" t="n">
        <v>3548520</v>
      </c>
      <c r="I121" s="52" t="n">
        <v>1862420</v>
      </c>
      <c r="J121" s="52" t="n">
        <v>0</v>
      </c>
      <c r="K121" s="52" t="n">
        <v>0</v>
      </c>
      <c r="L121" s="52" t="n">
        <v>96790</v>
      </c>
      <c r="M121" s="46" t="n">
        <f aca="false">SUM(D121:L121)</f>
        <v>33254161</v>
      </c>
      <c r="N121" s="20" t="n">
        <f aca="false">IF(D121=0,"",E121/D121-1)</f>
        <v>-0.202363133172077</v>
      </c>
      <c r="O121" s="20" t="n">
        <f aca="false">IF(E121=0,"",F121/E121-1)</f>
        <v>0.516240982677788</v>
      </c>
      <c r="P121" s="20" t="n">
        <f aca="false">IF(F121=0,"",G121/F121-1)</f>
        <v>-0.661425906398555</v>
      </c>
      <c r="Q121" s="20" t="n">
        <f aca="false">IF(G121=0,"",H121/G121-1)</f>
        <v>0.0670802851224857</v>
      </c>
      <c r="R121" s="20" t="n">
        <f aca="false">IF(H121=0,"",I121/H121-1)</f>
        <v>-0.475155839617643</v>
      </c>
      <c r="S121" s="20" t="n">
        <f aca="false">IF(I121=0,"",J121/I121-1)</f>
        <v>-1</v>
      </c>
      <c r="T121" s="20" t="str">
        <f aca="false">IF(J121=0,"",K121/J121-1)</f>
        <v/>
      </c>
      <c r="U121" s="20" t="str">
        <f aca="false">IF(K121=0,"",L121/K121-1)</f>
        <v/>
      </c>
    </row>
    <row r="122" customFormat="false" ht="15" hidden="false" customHeight="false" outlineLevel="0" collapsed="false">
      <c r="A122" s="19" t="s">
        <v>181</v>
      </c>
      <c r="B122" s="22" t="s">
        <v>412</v>
      </c>
      <c r="C122" s="22" t="s">
        <v>413</v>
      </c>
      <c r="D122" s="52" t="n">
        <v>7781530</v>
      </c>
      <c r="E122" s="52" t="n">
        <v>6006450</v>
      </c>
      <c r="F122" s="52" t="n">
        <v>5276690</v>
      </c>
      <c r="G122" s="52" t="n">
        <v>5133070</v>
      </c>
      <c r="H122" s="52" t="n">
        <v>4395030</v>
      </c>
      <c r="I122" s="52" t="n">
        <v>3496734</v>
      </c>
      <c r="J122" s="52" t="n">
        <v>2128400</v>
      </c>
      <c r="K122" s="52" t="n">
        <v>0</v>
      </c>
      <c r="L122" s="52" t="n">
        <v>0</v>
      </c>
      <c r="M122" s="46" t="n">
        <f aca="false">SUM(D122:L122)</f>
        <v>34217904</v>
      </c>
      <c r="N122" s="20" t="n">
        <f aca="false">IF(D122=0,"",E122/D122-1)</f>
        <v>-0.228114522465376</v>
      </c>
      <c r="O122" s="20" t="n">
        <f aca="false">IF(E122=0,"",F122/E122-1)</f>
        <v>-0.121496058403882</v>
      </c>
      <c r="P122" s="20" t="n">
        <f aca="false">IF(F122=0,"",G122/F122-1)</f>
        <v>-0.0272178202623236</v>
      </c>
      <c r="Q122" s="20" t="n">
        <f aca="false">IF(G122=0,"",H122/G122-1)</f>
        <v>-0.143781401773208</v>
      </c>
      <c r="R122" s="20" t="n">
        <f aca="false">IF(H122=0,"",I122/H122-1)</f>
        <v>-0.204389048538918</v>
      </c>
      <c r="S122" s="20" t="n">
        <f aca="false">IF(I122=0,"",J122/I122-1)</f>
        <v>-0.39131772677018</v>
      </c>
      <c r="T122" s="20" t="n">
        <f aca="false">IF(J122=0,"",K122/J122-1)</f>
        <v>-1</v>
      </c>
      <c r="U122" s="20" t="str">
        <f aca="false">IF(K122=0,"",L122/K122-1)</f>
        <v/>
      </c>
    </row>
    <row r="123" customFormat="false" ht="15" hidden="false" customHeight="false" outlineLevel="0" collapsed="false">
      <c r="A123" s="19" t="s">
        <v>181</v>
      </c>
      <c r="B123" s="22" t="s">
        <v>314</v>
      </c>
      <c r="C123" s="19" t="s">
        <v>315</v>
      </c>
      <c r="D123" s="52" t="n">
        <v>0</v>
      </c>
      <c r="E123" s="52" t="n">
        <v>0</v>
      </c>
      <c r="F123" s="52" t="n">
        <v>0</v>
      </c>
      <c r="G123" s="52" t="n">
        <v>9921000</v>
      </c>
      <c r="H123" s="52" t="n">
        <v>4815000</v>
      </c>
      <c r="I123" s="52" t="n">
        <v>14642850</v>
      </c>
      <c r="J123" s="52" t="n">
        <v>1033500</v>
      </c>
      <c r="K123" s="52" t="n">
        <v>9630000</v>
      </c>
      <c r="L123" s="52" t="n">
        <v>7222500</v>
      </c>
      <c r="M123" s="46" t="n">
        <f aca="false">SUM(D123:L123)</f>
        <v>47264850</v>
      </c>
      <c r="N123" s="20" t="str">
        <f aca="false">IF(D123=0,"",E123/D123-1)</f>
        <v/>
      </c>
      <c r="O123" s="20" t="str">
        <f aca="false">IF(E123=0,"",F123/E123-1)</f>
        <v/>
      </c>
      <c r="P123" s="20" t="str">
        <f aca="false">IF(F123=0,"",G123/F123-1)</f>
        <v/>
      </c>
      <c r="Q123" s="20" t="n">
        <f aca="false">IF(G123=0,"",H123/G123-1)</f>
        <v>-0.514665860296341</v>
      </c>
      <c r="R123" s="20" t="n">
        <f aca="false">IF(H123=0,"",I123/H123-1)</f>
        <v>2.04109034267913</v>
      </c>
      <c r="S123" s="20" t="n">
        <f aca="false">IF(I123=0,"",J123/I123-1)</f>
        <v>-0.929419477765599</v>
      </c>
      <c r="T123" s="20" t="n">
        <f aca="false">IF(J123=0,"",K123/J123-1)</f>
        <v>8.31785195936139</v>
      </c>
      <c r="U123" s="20" t="n">
        <f aca="false">IF(K123=0,"",L123/K123-1)</f>
        <v>-0.25</v>
      </c>
    </row>
    <row r="124" customFormat="false" ht="15" hidden="false" customHeight="false" outlineLevel="0" collapsed="false">
      <c r="A124" s="19" t="s">
        <v>181</v>
      </c>
      <c r="B124" s="22" t="s">
        <v>414</v>
      </c>
      <c r="C124" s="19" t="s">
        <v>415</v>
      </c>
      <c r="D124" s="52" t="n">
        <v>0</v>
      </c>
      <c r="E124" s="52" t="n">
        <v>0</v>
      </c>
      <c r="F124" s="52" t="n">
        <v>0</v>
      </c>
      <c r="G124" s="52" t="n">
        <v>0</v>
      </c>
      <c r="H124" s="52" t="n">
        <v>0</v>
      </c>
      <c r="I124" s="52" t="n">
        <v>0</v>
      </c>
      <c r="J124" s="52" t="n">
        <v>0</v>
      </c>
      <c r="K124" s="52" t="n">
        <v>0</v>
      </c>
      <c r="L124" s="52" t="n">
        <v>0</v>
      </c>
      <c r="M124" s="46" t="n">
        <f aca="false">SUM(D124:L124)</f>
        <v>0</v>
      </c>
      <c r="N124" s="20" t="str">
        <f aca="false">IF(D124=0,"",E124/D124-1)</f>
        <v/>
      </c>
      <c r="O124" s="20" t="str">
        <f aca="false">IF(E124=0,"",F124/E124-1)</f>
        <v/>
      </c>
      <c r="P124" s="20" t="str">
        <f aca="false">IF(F124=0,"",G124/F124-1)</f>
        <v/>
      </c>
      <c r="Q124" s="20" t="str">
        <f aca="false">IF(G124=0,"",H124/G124-1)</f>
        <v/>
      </c>
      <c r="R124" s="20" t="str">
        <f aca="false">IF(H124=0,"",I124/H124-1)</f>
        <v/>
      </c>
      <c r="S124" s="20" t="str">
        <f aca="false">IF(I124=0,"",J124/I124-1)</f>
        <v/>
      </c>
      <c r="T124" s="20" t="str">
        <f aca="false">IF(J124=0,"",K124/J124-1)</f>
        <v/>
      </c>
      <c r="U124" s="20" t="str">
        <f aca="false">IF(K124=0,"",L124/K124-1)</f>
        <v/>
      </c>
    </row>
    <row r="125" customFormat="false" ht="15" hidden="false" customHeight="false" outlineLevel="0" collapsed="false">
      <c r="A125" s="19" t="s">
        <v>181</v>
      </c>
      <c r="B125" s="22" t="s">
        <v>358</v>
      </c>
      <c r="C125" s="19" t="s">
        <v>150</v>
      </c>
      <c r="D125" s="52" t="n">
        <v>0</v>
      </c>
      <c r="E125" s="52" t="n">
        <v>0</v>
      </c>
      <c r="F125" s="52" t="n">
        <v>0</v>
      </c>
      <c r="G125" s="52" t="n">
        <v>0</v>
      </c>
      <c r="H125" s="52" t="n">
        <v>0</v>
      </c>
      <c r="I125" s="52" t="n">
        <v>0</v>
      </c>
      <c r="J125" s="52" t="n">
        <v>0</v>
      </c>
      <c r="K125" s="52" t="n">
        <v>0</v>
      </c>
      <c r="L125" s="52" t="n">
        <v>0</v>
      </c>
      <c r="M125" s="46" t="n">
        <f aca="false">SUM(D125:L125)</f>
        <v>0</v>
      </c>
      <c r="N125" s="20" t="str">
        <f aca="false">IF(D125=0,"",E125/D125-1)</f>
        <v/>
      </c>
      <c r="O125" s="20" t="str">
        <f aca="false">IF(E125=0,"",F125/E125-1)</f>
        <v/>
      </c>
      <c r="P125" s="20" t="str">
        <f aca="false">IF(F125=0,"",G125/F125-1)</f>
        <v/>
      </c>
      <c r="Q125" s="20" t="str">
        <f aca="false">IF(G125=0,"",H125/G125-1)</f>
        <v/>
      </c>
      <c r="R125" s="20" t="str">
        <f aca="false">IF(H125=0,"",I125/H125-1)</f>
        <v/>
      </c>
      <c r="S125" s="20" t="str">
        <f aca="false">IF(I125=0,"",J125/I125-1)</f>
        <v/>
      </c>
      <c r="T125" s="20" t="str">
        <f aca="false">IF(J125=0,"",K125/J125-1)</f>
        <v/>
      </c>
      <c r="U125" s="20" t="str">
        <f aca="false">IF(K125=0,"",L125/K125-1)</f>
        <v/>
      </c>
    </row>
  </sheetData>
  <mergeCells count="5">
    <mergeCell ref="A3:A4"/>
    <mergeCell ref="B3:B4"/>
    <mergeCell ref="C3:C4"/>
    <mergeCell ref="D3:M3"/>
    <mergeCell ref="N3:U3"/>
  </mergeCells>
  <conditionalFormatting sqref="N5:U125">
    <cfRule type="cellIs" priority="2" operator="greaterThanOrEqual" aboveAverage="0" equalAverage="0" bottom="0" percent="0" rank="0" text="" dxfId="0">
      <formula>0.05</formula>
    </cfRule>
    <cfRule type="cellIs" priority="3" operator="lessThanOrEqual" aboveAverage="0" equalAverage="0" bottom="0" percent="0" rank="0" text="" dxfId="1">
      <formula>-0.05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51" t="s">
        <v>552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2026-10-19T06:10:48Z</dcterms:created>
  <dc:creator>openpyxl</dc:creator>
  <dc:description/>
  <dc:language>en-US</dc:language>
  <cp:lastModifiedBy/>
  <dcterms:modified xsi:type="dcterms:W3CDTF">2026-10-19T06:10:50Z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